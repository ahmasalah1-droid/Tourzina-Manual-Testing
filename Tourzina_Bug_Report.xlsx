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og" sheetId="2" state="visible" r:id="rId2"/>
    <sheet xmlns:r="http://schemas.openxmlformats.org/officeDocument/2006/relationships" name="By Module" sheetId="3" state="visible" r:id="rId3"/>
    <sheet xmlns:r="http://schemas.openxmlformats.org/officeDocument/2006/relationships" name="By Platfo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color rgb="007D5A00"/>
      <sz val="11"/>
    </font>
    <font>
      <name val="Arial"/>
      <b val="1"/>
      <color rgb="00375623"/>
      <sz val="11"/>
    </font>
    <font>
      <name val="Arial"/>
      <b val="1"/>
      <color rgb="00185FA5"/>
      <sz val="11"/>
    </font>
    <font>
      <name val="Arial"/>
      <b val="1"/>
      <color rgb="00595959"/>
      <sz val="11"/>
    </font>
    <font>
      <name val="Arial"/>
      <color rgb="001A1A1A"/>
      <sz val="10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b val="1"/>
      <color rgb="00000000"/>
      <sz val="11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FF0000"/>
      </patternFill>
    </fill>
    <fill>
      <patternFill patternType="solid">
        <fgColor rgb="00FFE0E0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92D050"/>
      </patternFill>
    </fill>
    <fill>
      <patternFill patternType="solid">
        <fgColor rgb="00EBF3E0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 indent="1"/>
    </xf>
    <xf numFmtId="0" fontId="5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indent="1"/>
    </xf>
    <xf numFmtId="0" fontId="4" fillId="6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indent="1"/>
    </xf>
    <xf numFmtId="0" fontId="4" fillId="8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9" borderId="1" applyAlignment="1" pivotButton="0" quotePrefix="0" xfId="0">
      <alignment vertical="center" indent="1"/>
    </xf>
    <xf numFmtId="0" fontId="8" fillId="16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indent="1"/>
    </xf>
    <xf numFmtId="0" fontId="6" fillId="12" borderId="1" applyAlignment="1" pivotButton="0" quotePrefix="0" xfId="0">
      <alignment horizontal="center" vertical="center"/>
    </xf>
    <xf numFmtId="0" fontId="3" fillId="17" borderId="1" applyAlignment="1" pivotButton="0" quotePrefix="0" xfId="0">
      <alignment vertical="center" indent="1"/>
    </xf>
    <xf numFmtId="164" fontId="6" fillId="1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/>
    </xf>
    <xf numFmtId="0" fontId="9" fillId="19" borderId="1" applyAlignment="1" pivotButton="0" quotePrefix="0" xfId="0">
      <alignment vertical="top" wrapText="1"/>
    </xf>
    <xf numFmtId="0" fontId="12" fillId="9" borderId="1" applyAlignment="1" pivotButton="0" quotePrefix="0" xfId="0">
      <alignment horizontal="center" vertical="top" wrapText="1"/>
    </xf>
    <xf numFmtId="0" fontId="11" fillId="1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/>
    </xf>
    <xf numFmtId="0" fontId="11" fillId="16" borderId="1" applyAlignment="1" pivotButton="0" quotePrefix="0" xfId="0">
      <alignment horizontal="center" vertical="top"/>
    </xf>
    <xf numFmtId="0" fontId="12" fillId="11" borderId="1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 indent="1"/>
    </xf>
    <xf numFmtId="0" fontId="11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 indent="1"/>
    </xf>
    <xf numFmtId="0" fontId="11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3" customWidth="1" min="4" max="4"/>
    <col width="28" customWidth="1" min="5" max="5"/>
    <col width="16" customWidth="1" min="6" max="6"/>
  </cols>
  <sheetData>
    <row r="2" ht="30" customHeight="1">
      <c r="B2" s="1" t="inlineStr">
        <is>
          <t>TOURZINA — BUG REPORT SUMMARY</t>
        </is>
      </c>
    </row>
    <row r="3" ht="30" customHeight="1"/>
    <row r="4">
      <c r="B4" s="2" t="inlineStr">
        <is>
          <t>Platform: Tourzina (dev.tourzina.com)  |  Tester: Ahmed Salah  |  Date: Apr–May 2026</t>
        </is>
      </c>
    </row>
    <row r="6" ht="22" customHeight="1">
      <c r="B6" s="3" t="inlineStr">
        <is>
          <t>Total Bugs</t>
        </is>
      </c>
      <c r="C6" s="4">
        <f>COUNTA('Bug Log'!A2:A1000)</f>
        <v/>
      </c>
      <c r="E6" s="5" t="inlineStr">
        <is>
          <t>Open</t>
        </is>
      </c>
      <c r="F6" s="6">
        <f>COUNTIF('Bug Log'!G2:G1000,"Open")</f>
        <v/>
      </c>
    </row>
    <row r="7" ht="22" customHeight="1">
      <c r="B7" s="7" t="inlineStr">
        <is>
          <t>Critical</t>
        </is>
      </c>
      <c r="C7" s="8">
        <f>COUNTIF('Bug Log'!E2:E1000,"CRITICAL")</f>
        <v/>
      </c>
      <c r="E7" s="5" t="inlineStr">
        <is>
          <t>In Review</t>
        </is>
      </c>
      <c r="F7" s="9">
        <f>COUNTIF('Bug Log'!G2:G1000,"In Review")</f>
        <v/>
      </c>
    </row>
    <row r="8" ht="22" customHeight="1">
      <c r="B8" s="10" t="inlineStr">
        <is>
          <t>High</t>
        </is>
      </c>
      <c r="C8" s="11">
        <f>COUNTIF('Bug Log'!E2:E1000,"HIGH")</f>
        <v/>
      </c>
      <c r="E8" s="5" t="inlineStr">
        <is>
          <t>Resolved</t>
        </is>
      </c>
      <c r="F8" s="12">
        <f>COUNTIF('Bug Log'!G2:G1000,"Resolved")</f>
        <v/>
      </c>
    </row>
    <row r="9" ht="22" customHeight="1">
      <c r="B9" s="13" t="inlineStr">
        <is>
          <t>Medium</t>
        </is>
      </c>
      <c r="C9" s="6">
        <f>COUNTIF('Bug Log'!E2:E1000,"MEDIUM")</f>
        <v/>
      </c>
      <c r="E9" s="5" t="inlineStr">
        <is>
          <t>Rejected</t>
        </is>
      </c>
      <c r="F9" s="14">
        <f>COUNTIF('Bug Log'!G2:G1000,"Rejected")</f>
        <v/>
      </c>
    </row>
    <row r="10" ht="22" customHeight="1">
      <c r="B10" s="15" t="inlineStr">
        <is>
          <t>Low</t>
        </is>
      </c>
      <c r="C10" s="16">
        <f>COUNTIF('Bug Log'!E2:E1000,"LOW")</f>
        <v/>
      </c>
      <c r="E10" s="17" t="inlineStr">
        <is>
          <t>Resolution Rate</t>
        </is>
      </c>
      <c r="F10" s="18">
        <f>IFERROR(COUNTIF('Bug Log'!G2:G1000,"Resolved")/COUNTA('Bug Log'!A2:A1000),0)</f>
        <v/>
      </c>
    </row>
  </sheetData>
  <mergeCells count="2">
    <mergeCell ref="B4:F4"/>
    <mergeCell ref="B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2" customWidth="1" min="3" max="3"/>
    <col width="14" customWidth="1" min="4" max="4"/>
    <col width="11" customWidth="1" min="5" max="5"/>
    <col width="18" customWidth="1" min="6" max="6"/>
    <col width="12" customWidth="1" min="7" max="7"/>
    <col width="14" customWidth="1" min="8" max="8"/>
    <col width="55" customWidth="1" min="9" max="9"/>
    <col width="42" customWidth="1" min="10" max="10"/>
    <col width="42" customWidth="1" min="11" max="11"/>
    <col width="28" customWidth="1" min="12" max="12"/>
  </cols>
  <sheetData>
    <row r="1" ht="28" customHeight="1">
      <c r="A1" s="19" t="inlineStr">
        <is>
          <t>Bug ID</t>
        </is>
      </c>
      <c r="B1" s="19" t="inlineStr">
        <is>
          <t>Module</t>
        </is>
      </c>
      <c r="C1" s="19" t="inlineStr">
        <is>
          <t>Title</t>
        </is>
      </c>
      <c r="D1" s="19" t="inlineStr">
        <is>
          <t>Type</t>
        </is>
      </c>
      <c r="E1" s="19" t="inlineStr">
        <is>
          <t>Severity</t>
        </is>
      </c>
      <c r="F1" s="19" t="inlineStr">
        <is>
          <t>Platform</t>
        </is>
      </c>
      <c r="G1" s="19" t="inlineStr">
        <is>
          <t>Status</t>
        </is>
      </c>
      <c r="H1" s="19" t="inlineStr">
        <is>
          <t>Date Reported</t>
        </is>
      </c>
      <c r="I1" s="19" t="inlineStr">
        <is>
          <t>Steps to Reproduce</t>
        </is>
      </c>
      <c r="J1" s="19" t="inlineStr">
        <is>
          <t>Expected Result</t>
        </is>
      </c>
      <c r="K1" s="19" t="inlineStr">
        <is>
          <t>Actual Result</t>
        </is>
      </c>
      <c r="L1" s="19" t="inlineStr">
        <is>
          <t>Notes</t>
        </is>
      </c>
    </row>
    <row r="2" ht="55" customHeight="1">
      <c r="A2" s="20" t="inlineStr">
        <is>
          <t>BUG-001</t>
        </is>
      </c>
      <c r="B2" s="20" t="inlineStr">
        <is>
          <t>Cart</t>
        </is>
      </c>
      <c r="C2" s="20" t="inlineStr">
        <is>
          <t>Users cannot reduce or edit ticket quantity in cart</t>
        </is>
      </c>
      <c r="D2" s="20" t="inlineStr">
        <is>
          <t>FUNCTIONAL</t>
        </is>
      </c>
      <c r="E2" s="21" t="inlineStr">
        <is>
          <t>HIGH</t>
        </is>
      </c>
      <c r="F2" s="20" t="inlineStr">
        <is>
          <t>Website</t>
        </is>
      </c>
      <c r="G2" s="22" t="inlineStr">
        <is>
          <t>In Review</t>
        </is>
      </c>
      <c r="H2" s="20" t="inlineStr">
        <is>
          <t>29-Apr-2026</t>
        </is>
      </c>
      <c r="I2" s="20" t="inlineStr">
        <is>
          <t>1. Add multiple tickets to cart
2. Navigate to cart
3. Attempt to reduce quantity</t>
        </is>
      </c>
      <c r="J2" s="20" t="inlineStr">
        <is>
          <t>User can increase or decrease ticket quantity inside the cart</t>
        </is>
      </c>
      <c r="K2" s="20" t="inlineStr">
        <is>
          <t>No option to reduce quantity. Must remove entire item and re-add</t>
        </is>
      </c>
      <c r="L2" s="20" t="inlineStr">
        <is>
          <t>Blocks user from adjusting order — major UX issue</t>
        </is>
      </c>
    </row>
    <row r="3" ht="55" customHeight="1">
      <c r="A3" s="23" t="inlineStr">
        <is>
          <t>BUG-002</t>
        </is>
      </c>
      <c r="B3" s="23" t="inlineStr">
        <is>
          <t>Cart</t>
        </is>
      </c>
      <c r="C3" s="23" t="inlineStr">
        <is>
          <t>No confirmation message when ticket is added to cart</t>
        </is>
      </c>
      <c r="D3" s="23" t="inlineStr">
        <is>
          <t>UI</t>
        </is>
      </c>
      <c r="E3" s="24" t="inlineStr">
        <is>
          <t>MEDIUM</t>
        </is>
      </c>
      <c r="F3" s="23" t="inlineStr">
        <is>
          <t>Website</t>
        </is>
      </c>
      <c r="G3" s="22" t="inlineStr">
        <is>
          <t>In Review</t>
        </is>
      </c>
      <c r="H3" s="23" t="inlineStr">
        <is>
          <t>29-Apr-2026</t>
        </is>
      </c>
      <c r="I3" s="23" t="inlineStr">
        <is>
          <t>1. Browse an activity
2. Click 'Add to Cart'</t>
        </is>
      </c>
      <c r="J3" s="23" t="inlineStr">
        <is>
          <t>Confirmation toast/message: 'Item added to cart'</t>
        </is>
      </c>
      <c r="K3" s="23" t="inlineStr">
        <is>
          <t>No feedback shown. User unsure if item was added</t>
        </is>
      </c>
      <c r="L3" s="23" t="inlineStr">
        <is>
          <t>Causes repeated clicks and cart duplicates</t>
        </is>
      </c>
    </row>
    <row r="4" ht="55" customHeight="1">
      <c r="A4" s="20" t="inlineStr">
        <is>
          <t>BUG-003</t>
        </is>
      </c>
      <c r="B4" s="20" t="inlineStr">
        <is>
          <t>Cart</t>
        </is>
      </c>
      <c r="C4" s="20" t="inlineStr">
        <is>
          <t>Add to Cart button stuck in loading state</t>
        </is>
      </c>
      <c r="D4" s="20" t="inlineStr">
        <is>
          <t>UI</t>
        </is>
      </c>
      <c r="E4" s="21" t="inlineStr">
        <is>
          <t>HIGH</t>
        </is>
      </c>
      <c r="F4" s="20" t="inlineStr">
        <is>
          <t>Website</t>
        </is>
      </c>
      <c r="G4" s="25" t="inlineStr">
        <is>
          <t>Resolved</t>
        </is>
      </c>
      <c r="H4" s="20" t="inlineStr">
        <is>
          <t>29-Apr-2026</t>
        </is>
      </c>
      <c r="I4" s="20" t="inlineStr">
        <is>
          <t>1. Click 'Add to Cart' on any ticket
2. Observe button state</t>
        </is>
      </c>
      <c r="J4" s="20" t="inlineStr">
        <is>
          <t>Button shows loading briefly then confirms success</t>
        </is>
      </c>
      <c r="K4" s="20" t="inlineStr">
        <is>
          <t>Button stays in loading state indefinitely. No cart update occurs</t>
        </is>
      </c>
      <c r="L4" s="20" t="inlineStr"/>
    </row>
    <row r="5" ht="55" customHeight="1">
      <c r="A5" s="23" t="inlineStr">
        <is>
          <t>BUG-004</t>
        </is>
      </c>
      <c r="B5" s="23" t="inlineStr">
        <is>
          <t>Booking</t>
        </is>
      </c>
      <c r="C5" s="23" t="inlineStr">
        <is>
          <t>Multiple users can book the same in-progress ticket</t>
        </is>
      </c>
      <c r="D5" s="23" t="inlineStr">
        <is>
          <t>UI</t>
        </is>
      </c>
      <c r="E5" s="26" t="inlineStr">
        <is>
          <t>CRITICAL</t>
        </is>
      </c>
      <c r="F5" s="23" t="inlineStr">
        <is>
          <t>Website</t>
        </is>
      </c>
      <c r="G5" s="27" t="inlineStr">
        <is>
          <t>Open</t>
        </is>
      </c>
      <c r="H5" s="23" t="inlineStr">
        <is>
          <t>29-Apr-2026</t>
        </is>
      </c>
      <c r="I5" s="23" t="inlineStr">
        <is>
          <t>1. User A starts booking ticket
2. Status changes to In Progress
3. User B books same ticket simultaneously</t>
        </is>
      </c>
      <c r="J5" s="23" t="inlineStr">
        <is>
          <t>Ticket is locked/reserved during booking — only one user can proceed</t>
        </is>
      </c>
      <c r="K5" s="23" t="inlineStr">
        <is>
          <t>Both users can book the same ticket at the same time</t>
        </is>
      </c>
      <c r="L5" s="23" t="inlineStr">
        <is>
          <t>Can cause overselling and booking conflicts</t>
        </is>
      </c>
    </row>
    <row r="6" ht="55" customHeight="1">
      <c r="A6" s="20" t="inlineStr">
        <is>
          <t>BUG-005</t>
        </is>
      </c>
      <c r="B6" s="20" t="inlineStr">
        <is>
          <t>Admin Dashboard</t>
        </is>
      </c>
      <c r="C6" s="20" t="inlineStr">
        <is>
          <t>Payout Requests tab shows inaccurate/outdated data</t>
        </is>
      </c>
      <c r="D6" s="20" t="inlineStr">
        <is>
          <t>UI</t>
        </is>
      </c>
      <c r="E6" s="26" t="inlineStr">
        <is>
          <t>CRITICAL</t>
        </is>
      </c>
      <c r="F6" s="20" t="inlineStr">
        <is>
          <t>Admin Dashboard</t>
        </is>
      </c>
      <c r="G6" s="27" t="inlineStr">
        <is>
          <t>Open</t>
        </is>
      </c>
      <c r="H6" s="20" t="inlineStr">
        <is>
          <t>29-Apr-2026</t>
        </is>
      </c>
      <c r="I6" s="20" t="inlineStr">
        <is>
          <t>1. Login as Admin
2. Navigate to Payout Requests tab
3. Check amounts, statuses, timestamps</t>
        </is>
      </c>
      <c r="J6" s="20" t="inlineStr">
        <is>
          <t>Accurate, real-time payout request data displayed</t>
        </is>
      </c>
      <c r="K6" s="20" t="inlineStr">
        <is>
          <t>Incorrect amounts, wrong statuses, missing new requests</t>
        </is>
      </c>
      <c r="L6" s="20" t="inlineStr">
        <is>
          <t>Prevents admins from approving payouts reliably</t>
        </is>
      </c>
    </row>
    <row r="7" ht="55" customHeight="1">
      <c r="A7" s="23" t="inlineStr">
        <is>
          <t>BUG-006</t>
        </is>
      </c>
      <c r="B7" s="23" t="inlineStr">
        <is>
          <t>Partner Dashboard</t>
        </is>
      </c>
      <c r="C7" s="23" t="inlineStr">
        <is>
          <t>Content Creator Support has access to admin/user tickets</t>
        </is>
      </c>
      <c r="D7" s="23" t="inlineStr">
        <is>
          <t>UI</t>
        </is>
      </c>
      <c r="E7" s="26" t="inlineStr">
        <is>
          <t>CRITICAL</t>
        </is>
      </c>
      <c r="F7" s="23" t="inlineStr">
        <is>
          <t>Partner Dashboard</t>
        </is>
      </c>
      <c r="G7" s="27" t="inlineStr">
        <is>
          <t>Open</t>
        </is>
      </c>
      <c r="H7" s="23" t="inlineStr">
        <is>
          <t>29-Apr-2026</t>
        </is>
      </c>
      <c r="I7" s="23" t="inlineStr">
        <is>
          <t>1. Login as Content Creator
2. Navigate to Support feature
3. View available tickets</t>
        </is>
      </c>
      <c r="J7" s="23" t="inlineStr">
        <is>
          <t>Content Creator sees only their own support tickets</t>
        </is>
      </c>
      <c r="K7" s="23" t="inlineStr">
        <is>
          <t>Full access to admin and all user tickets is exposed</t>
        </is>
      </c>
      <c r="L7" s="23" t="inlineStr">
        <is>
          <t>RBAC violation — sensitive data exposure</t>
        </is>
      </c>
    </row>
    <row r="8" ht="55" customHeight="1">
      <c r="A8" s="20" t="inlineStr">
        <is>
          <t>BUG-007</t>
        </is>
      </c>
      <c r="B8" s="20" t="inlineStr">
        <is>
          <t>Partner Dashboard</t>
        </is>
      </c>
      <c r="C8" s="20" t="inlineStr">
        <is>
          <t>Settings tab does not save data changes for Content Creator</t>
        </is>
      </c>
      <c r="D8" s="20" t="inlineStr">
        <is>
          <t>FUNCTIONAL</t>
        </is>
      </c>
      <c r="E8" s="21" t="inlineStr">
        <is>
          <t>HIGH</t>
        </is>
      </c>
      <c r="F8" s="20" t="inlineStr">
        <is>
          <t>Partner Dashboard</t>
        </is>
      </c>
      <c r="G8" s="27" t="inlineStr">
        <is>
          <t>Open</t>
        </is>
      </c>
      <c r="H8" s="20" t="inlineStr">
        <is>
          <t>29-Apr-2026</t>
        </is>
      </c>
      <c r="I8" s="20" t="inlineStr">
        <is>
          <t>1. Login as Content Creator
2. Go to Settings tab
3. Edit profile fields
4. Save</t>
        </is>
      </c>
      <c r="J8" s="20" t="inlineStr">
        <is>
          <t>Changes are saved and reflected immediately</t>
        </is>
      </c>
      <c r="K8" s="20" t="inlineStr">
        <is>
          <t>Fields locked or changes not saved</t>
        </is>
      </c>
      <c r="L8" s="20" t="inlineStr">
        <is>
          <t>Prevents creators from managing their account</t>
        </is>
      </c>
    </row>
    <row r="9" ht="55" customHeight="1">
      <c r="A9" s="23" t="inlineStr">
        <is>
          <t>BUG-008</t>
        </is>
      </c>
      <c r="B9" s="23" t="inlineStr">
        <is>
          <t>Partner Dashboard</t>
        </is>
      </c>
      <c r="C9" s="23" t="inlineStr">
        <is>
          <t>Archive feature not working for content creator links</t>
        </is>
      </c>
      <c r="D9" s="23" t="inlineStr">
        <is>
          <t>FUNCTIONAL</t>
        </is>
      </c>
      <c r="E9" s="24" t="inlineStr">
        <is>
          <t>MEDIUM</t>
        </is>
      </c>
      <c r="F9" s="23" t="inlineStr">
        <is>
          <t>Partner Dashboard</t>
        </is>
      </c>
      <c r="G9" s="28" t="inlineStr">
        <is>
          <t>Rejected</t>
        </is>
      </c>
      <c r="H9" s="23" t="inlineStr">
        <is>
          <t>29-Apr-2026</t>
        </is>
      </c>
      <c r="I9" s="23" t="inlineStr">
        <is>
          <t>1. Login as Content Creator
2. Go to Links section
3. Click Archive on a link</t>
        </is>
      </c>
      <c r="J9" s="23" t="inlineStr">
        <is>
          <t>Link is archived and moved to archived state</t>
        </is>
      </c>
      <c r="K9" s="23" t="inlineStr">
        <is>
          <t>No action occurs. Link remains active</t>
        </is>
      </c>
      <c r="L9" s="23" t="inlineStr"/>
    </row>
    <row r="10" ht="55" customHeight="1">
      <c r="A10" s="20" t="inlineStr">
        <is>
          <t>BUG-009</t>
        </is>
      </c>
      <c r="B10" s="20" t="inlineStr">
        <is>
          <t>Partner Dashboard</t>
        </is>
      </c>
      <c r="C10" s="20" t="inlineStr">
        <is>
          <t>Overview tab displays incorrect Estimated Balance</t>
        </is>
      </c>
      <c r="D10" s="20" t="inlineStr">
        <is>
          <t>UI</t>
        </is>
      </c>
      <c r="E10" s="21" t="inlineStr">
        <is>
          <t>HIGH</t>
        </is>
      </c>
      <c r="F10" s="20" t="inlineStr">
        <is>
          <t>Partner Dashboard</t>
        </is>
      </c>
      <c r="G10" s="22" t="inlineStr">
        <is>
          <t>In Review</t>
        </is>
      </c>
      <c r="H10" s="20" t="inlineStr">
        <is>
          <t>29-Apr-2026</t>
        </is>
      </c>
      <c r="I10" s="20" t="inlineStr">
        <is>
          <t>1. Login as Content Creator
2. Navigate to Overview tab
3. Check Estimated Balance</t>
        </is>
      </c>
      <c r="J10" s="20" t="inlineStr">
        <is>
          <t>Estimated Balance matches actual records</t>
        </is>
      </c>
      <c r="K10" s="20" t="inlineStr">
        <is>
          <t>Inaccurate balance shown — misaligned with real data</t>
        </is>
      </c>
      <c r="L10" s="20" t="inlineStr">
        <is>
          <t>Undermines dashboard reliability</t>
        </is>
      </c>
    </row>
    <row r="11" ht="55" customHeight="1">
      <c r="A11" s="23" t="inlineStr">
        <is>
          <t>BUG-010</t>
        </is>
      </c>
      <c r="B11" s="23" t="inlineStr">
        <is>
          <t>Partner Dashboard</t>
        </is>
      </c>
      <c r="C11" s="23" t="inlineStr">
        <is>
          <t>Create New Link feature not working</t>
        </is>
      </c>
      <c r="D11" s="23" t="inlineStr">
        <is>
          <t>FUNCTIONAL</t>
        </is>
      </c>
      <c r="E11" s="21" t="inlineStr">
        <is>
          <t>HIGH</t>
        </is>
      </c>
      <c r="F11" s="23" t="inlineStr">
        <is>
          <t>Partner Dashboard</t>
        </is>
      </c>
      <c r="G11" s="25" t="inlineStr">
        <is>
          <t>Resolved</t>
        </is>
      </c>
      <c r="H11" s="23" t="inlineStr">
        <is>
          <t>29-Apr-2026</t>
        </is>
      </c>
      <c r="I11" s="23" t="inlineStr">
        <is>
          <t>1. Login as Content Creator
2. Click 'Create New Link'</t>
        </is>
      </c>
      <c r="J11" s="23" t="inlineStr">
        <is>
          <t>New link is created and saved</t>
        </is>
      </c>
      <c r="K11" s="23" t="inlineStr">
        <is>
          <t>No response. No link generated</t>
        </is>
      </c>
      <c r="L11" s="23" t="inlineStr"/>
    </row>
    <row r="12" ht="55" customHeight="1">
      <c r="A12" s="20" t="inlineStr">
        <is>
          <t>BUG-011</t>
        </is>
      </c>
      <c r="B12" s="20" t="inlineStr">
        <is>
          <t>Voucher</t>
        </is>
      </c>
      <c r="C12" s="20" t="inlineStr">
        <is>
          <t>Voucher not sent to email after generation</t>
        </is>
      </c>
      <c r="D12" s="20" t="inlineStr">
        <is>
          <t>UI</t>
        </is>
      </c>
      <c r="E12" s="21" t="inlineStr">
        <is>
          <t>HIGH</t>
        </is>
      </c>
      <c r="F12" s="20" t="inlineStr">
        <is>
          <t>Website</t>
        </is>
      </c>
      <c r="G12" s="22" t="inlineStr">
        <is>
          <t>In Review</t>
        </is>
      </c>
      <c r="H12" s="20" t="inlineStr">
        <is>
          <t>29-Apr-2026</t>
        </is>
      </c>
      <c r="I12" s="20" t="inlineStr">
        <is>
          <t>1. Complete a booking
2. Generate voucher
3. Check registered email inbox</t>
        </is>
      </c>
      <c r="J12" s="20" t="inlineStr">
        <is>
          <t>Voucher PDF sent to user's registered email</t>
        </is>
      </c>
      <c r="K12" s="20" t="inlineStr">
        <is>
          <t>No email received. Voucher only visible on website</t>
        </is>
      </c>
      <c r="L12" s="20" t="inlineStr">
        <is>
          <t>User cannot access voucher without logging in</t>
        </is>
      </c>
    </row>
    <row r="13" ht="55" customHeight="1">
      <c r="A13" s="23" t="inlineStr">
        <is>
          <t>BUG-012</t>
        </is>
      </c>
      <c r="B13" s="23" t="inlineStr">
        <is>
          <t>Admin Dashboard</t>
        </is>
      </c>
      <c r="C13" s="23" t="inlineStr">
        <is>
          <t>Duplicate X icons in booking details</t>
        </is>
      </c>
      <c r="D13" s="23" t="inlineStr">
        <is>
          <t>UI</t>
        </is>
      </c>
      <c r="E13" s="29" t="inlineStr">
        <is>
          <t>LOW</t>
        </is>
      </c>
      <c r="F13" s="23" t="inlineStr">
        <is>
          <t>Admin Dashboard</t>
        </is>
      </c>
      <c r="G13" s="25" t="inlineStr">
        <is>
          <t>Resolved</t>
        </is>
      </c>
      <c r="H13" s="23" t="inlineStr">
        <is>
          <t>29-Apr-2026</t>
        </is>
      </c>
      <c r="I13" s="23" t="inlineStr">
        <is>
          <t>1. Login as Admin
2. Open any booking details</t>
        </is>
      </c>
      <c r="J13" s="23" t="inlineStr">
        <is>
          <t>Single X (close) icon displayed</t>
        </is>
      </c>
      <c r="K13" s="23" t="inlineStr">
        <is>
          <t>Two X icons displayed simultaneously</t>
        </is>
      </c>
      <c r="L13" s="23" t="inlineStr">
        <is>
          <t>Minor UI clutter</t>
        </is>
      </c>
    </row>
    <row r="14" ht="55" customHeight="1">
      <c r="A14" s="20" t="inlineStr">
        <is>
          <t>BUG-013</t>
        </is>
      </c>
      <c r="B14" s="20" t="inlineStr">
        <is>
          <t>Voucher</t>
        </is>
      </c>
      <c r="C14" s="20" t="inlineStr">
        <is>
          <t>Voucher download feature not working</t>
        </is>
      </c>
      <c r="D14" s="20" t="inlineStr">
        <is>
          <t>UI</t>
        </is>
      </c>
      <c r="E14" s="26" t="inlineStr">
        <is>
          <t>CRITICAL</t>
        </is>
      </c>
      <c r="F14" s="20" t="inlineStr">
        <is>
          <t>Website</t>
        </is>
      </c>
      <c r="G14" s="25" t="inlineStr">
        <is>
          <t>Resolved</t>
        </is>
      </c>
      <c r="H14" s="20" t="inlineStr">
        <is>
          <t>29-Apr-2026</t>
        </is>
      </c>
      <c r="I14" s="20" t="inlineStr">
        <is>
          <t>1. Complete booking
2. Click 'Download Voucher'</t>
        </is>
      </c>
      <c r="J14" s="20" t="inlineStr">
        <is>
          <t>Voucher PDF downloaded to device</t>
        </is>
      </c>
      <c r="K14" s="20" t="inlineStr">
        <is>
          <t>No response. File not generated or saved</t>
        </is>
      </c>
      <c r="L14" s="20" t="inlineStr">
        <is>
          <t>User cannot retrieve voucher</t>
        </is>
      </c>
    </row>
    <row r="15" ht="55" customHeight="1">
      <c r="A15" s="23" t="inlineStr">
        <is>
          <t>BUG-014</t>
        </is>
      </c>
      <c r="B15" s="23" t="inlineStr">
        <is>
          <t>Voucher</t>
        </is>
      </c>
      <c r="C15" s="23" t="inlineStr">
        <is>
          <t>Ticket voucher does not include QR code</t>
        </is>
      </c>
      <c r="D15" s="23" t="inlineStr">
        <is>
          <t>UI</t>
        </is>
      </c>
      <c r="E15" s="26" t="inlineStr">
        <is>
          <t>CRITICAL</t>
        </is>
      </c>
      <c r="F15" s="23" t="inlineStr">
        <is>
          <t>Website</t>
        </is>
      </c>
      <c r="G15" s="27" t="inlineStr">
        <is>
          <t>Open</t>
        </is>
      </c>
      <c r="H15" s="23" t="inlineStr">
        <is>
          <t>28-Apr-2026</t>
        </is>
      </c>
      <c r="I15" s="23" t="inlineStr">
        <is>
          <t>1. Complete booking
2. Download ticket voucher
3. Inspect voucher for QR code</t>
        </is>
      </c>
      <c r="J15" s="23" t="inlineStr">
        <is>
          <t>QR code present on voucher for scanning at event</t>
        </is>
      </c>
      <c r="K15" s="23" t="inlineStr">
        <is>
          <t>No QR code included in voucher</t>
        </is>
      </c>
      <c r="L15" s="23" t="inlineStr">
        <is>
          <t>Staff cannot verify tickets at check-in</t>
        </is>
      </c>
    </row>
    <row r="16" ht="55" customHeight="1">
      <c r="A16" s="20" t="inlineStr">
        <is>
          <t>BUG-015</t>
        </is>
      </c>
      <c r="B16" s="20" t="inlineStr">
        <is>
          <t>Staff Dashboard</t>
        </is>
      </c>
      <c r="C16" s="20" t="inlineStr">
        <is>
          <t>Staff can edit partners (should be view-only)</t>
        </is>
      </c>
      <c r="D16" s="20" t="inlineStr">
        <is>
          <t>FUNCTIONAL</t>
        </is>
      </c>
      <c r="E16" s="21" t="inlineStr">
        <is>
          <t>HIGH</t>
        </is>
      </c>
      <c r="F16" s="20" t="inlineStr">
        <is>
          <t>Staff Dashboard</t>
        </is>
      </c>
      <c r="G16" s="22" t="inlineStr">
        <is>
          <t>In Review</t>
        </is>
      </c>
      <c r="H16" s="20" t="inlineStr">
        <is>
          <t>28-Apr-2026</t>
        </is>
      </c>
      <c r="I16" s="20" t="inlineStr">
        <is>
          <t>1. Login as Staff
2. Go to Partner tab
3. Attempt to edit partner details</t>
        </is>
      </c>
      <c r="J16" s="20" t="inlineStr">
        <is>
          <t>Partner tab is view-only for staff</t>
        </is>
      </c>
      <c r="K16" s="20" t="inlineStr">
        <is>
          <t>Staff can edit partner records</t>
        </is>
      </c>
      <c r="L16" s="20" t="inlineStr">
        <is>
          <t>RBAC violation</t>
        </is>
      </c>
    </row>
    <row r="17" ht="55" customHeight="1">
      <c r="A17" s="23" t="inlineStr">
        <is>
          <t>BUG-016</t>
        </is>
      </c>
      <c r="B17" s="23" t="inlineStr">
        <is>
          <t>Booking</t>
        </is>
      </c>
      <c r="C17" s="23" t="inlineStr">
        <is>
          <t>User can order more tickets than admin availability limit</t>
        </is>
      </c>
      <c r="D17" s="23" t="inlineStr">
        <is>
          <t>UI</t>
        </is>
      </c>
      <c r="E17" s="26" t="inlineStr">
        <is>
          <t>CRITICAL</t>
        </is>
      </c>
      <c r="F17" s="23" t="inlineStr">
        <is>
          <t>Website</t>
        </is>
      </c>
      <c r="G17" s="22" t="inlineStr">
        <is>
          <t>In Review</t>
        </is>
      </c>
      <c r="H17" s="23" t="inlineStr">
        <is>
          <t>28-Apr-2026</t>
        </is>
      </c>
      <c r="I17" s="23" t="inlineStr">
        <is>
          <t>1. Admin sets ticket availability to 2
2. User attempts to order 3+ tickets</t>
        </is>
      </c>
      <c r="J17" s="23" t="inlineStr">
        <is>
          <t>System enforces the 2-ticket limit</t>
        </is>
      </c>
      <c r="K17" s="23" t="inlineStr">
        <is>
          <t>User can order beyond the set limit</t>
        </is>
      </c>
      <c r="L17" s="23" t="inlineStr">
        <is>
          <t>Causes overselling and inventory inaccuracy</t>
        </is>
      </c>
    </row>
    <row r="18" ht="55" customHeight="1">
      <c r="A18" s="20" t="inlineStr">
        <is>
          <t>BUG-017</t>
        </is>
      </c>
      <c r="B18" s="20" t="inlineStr">
        <is>
          <t>Website</t>
        </is>
      </c>
      <c r="C18" s="20" t="inlineStr">
        <is>
          <t>Destinations tab shows only 6 destinations</t>
        </is>
      </c>
      <c r="D18" s="20" t="inlineStr">
        <is>
          <t>UI</t>
        </is>
      </c>
      <c r="E18" s="24" t="inlineStr">
        <is>
          <t>MEDIUM</t>
        </is>
      </c>
      <c r="F18" s="20" t="inlineStr">
        <is>
          <t>Website</t>
        </is>
      </c>
      <c r="G18" s="22" t="inlineStr">
        <is>
          <t>In Review</t>
        </is>
      </c>
      <c r="H18" s="20" t="inlineStr">
        <is>
          <t>28-Apr-2026</t>
        </is>
      </c>
      <c r="I18" s="20" t="inlineStr">
        <is>
          <t>1. Navigate to Destinations tab</t>
        </is>
      </c>
      <c r="J18" s="20" t="inlineStr">
        <is>
          <t>All available destinations displayed</t>
        </is>
      </c>
      <c r="K18" s="20" t="inlineStr">
        <is>
          <t>Only 6 destinations shown — full list only visible via 'View All'</t>
        </is>
      </c>
      <c r="L18" s="20" t="inlineStr">
        <is>
          <t>Inconsistent display</t>
        </is>
      </c>
    </row>
    <row r="19" ht="55" customHeight="1">
      <c r="A19" s="23" t="inlineStr">
        <is>
          <t>BUG-018</t>
        </is>
      </c>
      <c r="B19" s="23" t="inlineStr">
        <is>
          <t>Search/Filter</t>
        </is>
      </c>
      <c r="C19" s="23" t="inlineStr">
        <is>
          <t>Price filter range capped at $0–$500</t>
        </is>
      </c>
      <c r="D19" s="23" t="inlineStr">
        <is>
          <t>FUNCTIONAL</t>
        </is>
      </c>
      <c r="E19" s="21" t="inlineStr">
        <is>
          <t>HIGH</t>
        </is>
      </c>
      <c r="F19" s="23" t="inlineStr">
        <is>
          <t>Website</t>
        </is>
      </c>
      <c r="G19" s="22" t="inlineStr">
        <is>
          <t>In Review</t>
        </is>
      </c>
      <c r="H19" s="23" t="inlineStr">
        <is>
          <t>28-Apr-2026</t>
        </is>
      </c>
      <c r="I19" s="23" t="inlineStr">
        <is>
          <t>1. Go to booking page
2. Apply price filter</t>
        </is>
      </c>
      <c r="J19" s="23" t="inlineStr">
        <is>
          <t>Filter range reflects actual ticket prices including those above $500</t>
        </is>
      </c>
      <c r="K19" s="23" t="inlineStr">
        <is>
          <t>Range always shows $0–$500. Tickets priced above $500 (e.g. $900) not filterable</t>
        </is>
      </c>
      <c r="L19" s="23" t="inlineStr"/>
    </row>
    <row r="20" ht="55" customHeight="1">
      <c r="A20" s="20" t="inlineStr">
        <is>
          <t>BUG-019</t>
        </is>
      </c>
      <c r="B20" s="20" t="inlineStr">
        <is>
          <t>Admin Dashboard</t>
        </is>
      </c>
      <c r="C20" s="20" t="inlineStr">
        <is>
          <t>Admin cannot edit missions in Rewards &amp; Vouchers Console</t>
        </is>
      </c>
      <c r="D20" s="20" t="inlineStr">
        <is>
          <t>FUNCTIONAL</t>
        </is>
      </c>
      <c r="E20" s="21" t="inlineStr">
        <is>
          <t>HIGH</t>
        </is>
      </c>
      <c r="F20" s="20" t="inlineStr">
        <is>
          <t>Admin Dashboard</t>
        </is>
      </c>
      <c r="G20" s="22" t="inlineStr">
        <is>
          <t>In Review</t>
        </is>
      </c>
      <c r="H20" s="20" t="inlineStr">
        <is>
          <t>28-Apr-2026</t>
        </is>
      </c>
      <c r="I20" s="20" t="inlineStr">
        <is>
          <t>1. Login as Admin
2. Go to Rewards &amp; Vouchers Console
3. Try to edit Welcome Bonus mission</t>
        </is>
      </c>
      <c r="J20" s="20" t="inlineStr">
        <is>
          <t>Admin has full edit access to all missions</t>
        </is>
      </c>
      <c r="K20" s="20" t="inlineStr">
        <is>
          <t>Edit option missing, disabled or permission blocked</t>
        </is>
      </c>
      <c r="L20" s="20" t="inlineStr"/>
    </row>
    <row r="21" ht="55" customHeight="1">
      <c r="A21" s="23" t="inlineStr">
        <is>
          <t>BUG-020</t>
        </is>
      </c>
      <c r="B21" s="23" t="inlineStr">
        <is>
          <t>Admin Dashboard</t>
        </is>
      </c>
      <c r="C21" s="23" t="inlineStr">
        <is>
          <t>Admin cannot create missions in Rewards &amp; Vouchers Console</t>
        </is>
      </c>
      <c r="D21" s="23" t="inlineStr">
        <is>
          <t>FUNCTIONAL</t>
        </is>
      </c>
      <c r="E21" s="21" t="inlineStr">
        <is>
          <t>HIGH</t>
        </is>
      </c>
      <c r="F21" s="23" t="inlineStr">
        <is>
          <t>Admin Dashboard</t>
        </is>
      </c>
      <c r="G21" s="28" t="inlineStr">
        <is>
          <t>Rejected</t>
        </is>
      </c>
      <c r="H21" s="23" t="inlineStr">
        <is>
          <t>28-Apr-2026</t>
        </is>
      </c>
      <c r="I21" s="23" t="inlineStr">
        <is>
          <t>1. Login as Admin
2. Go to Rewards &amp; Vouchers Console
3. Try to create new mission</t>
        </is>
      </c>
      <c r="J21" s="23" t="inlineStr">
        <is>
          <t>Admin can create new missions</t>
        </is>
      </c>
      <c r="K21" s="23" t="inlineStr">
        <is>
          <t>Option missing or blocked</t>
        </is>
      </c>
      <c r="L21" s="23" t="inlineStr"/>
    </row>
    <row r="22" ht="55" customHeight="1">
      <c r="A22" s="20" t="inlineStr">
        <is>
          <t>BUG-021</t>
        </is>
      </c>
      <c r="B22" s="20" t="inlineStr">
        <is>
          <t>Staff Dashboard</t>
        </is>
      </c>
      <c r="C22" s="20" t="inlineStr">
        <is>
          <t>No data displayed in Inventory tab for staff</t>
        </is>
      </c>
      <c r="D22" s="20" t="inlineStr">
        <is>
          <t>UI</t>
        </is>
      </c>
      <c r="E22" s="21" t="inlineStr">
        <is>
          <t>HIGH</t>
        </is>
      </c>
      <c r="F22" s="20" t="inlineStr">
        <is>
          <t>Staff Dashboard</t>
        </is>
      </c>
      <c r="G22" s="28" t="inlineStr">
        <is>
          <t>Rejected</t>
        </is>
      </c>
      <c r="H22" s="20" t="inlineStr">
        <is>
          <t>28-Apr-2026</t>
        </is>
      </c>
      <c r="I22" s="20" t="inlineStr">
        <is>
          <t>1. Login as Staff
2. Navigate to Inventory tab</t>
        </is>
      </c>
      <c r="J22" s="20" t="inlineStr">
        <is>
          <t>Inventory records displayed</t>
        </is>
      </c>
      <c r="K22" s="20" t="inlineStr">
        <is>
          <t>Section is empty despite records existing in system</t>
        </is>
      </c>
      <c r="L22" s="20" t="inlineStr"/>
    </row>
    <row r="23" ht="55" customHeight="1">
      <c r="A23" s="23" t="inlineStr">
        <is>
          <t>BUG-022</t>
        </is>
      </c>
      <c r="B23" s="23" t="inlineStr">
        <is>
          <t>Staff Dashboard</t>
        </is>
      </c>
      <c r="C23" s="23" t="inlineStr">
        <is>
          <t>No data displayed in Activities tab for staff</t>
        </is>
      </c>
      <c r="D23" s="23" t="inlineStr">
        <is>
          <t>FUNCTIONAL</t>
        </is>
      </c>
      <c r="E23" s="21" t="inlineStr">
        <is>
          <t>HIGH</t>
        </is>
      </c>
      <c r="F23" s="23" t="inlineStr">
        <is>
          <t>Staff Dashboard</t>
        </is>
      </c>
      <c r="G23" s="28" t="inlineStr">
        <is>
          <t>Rejected</t>
        </is>
      </c>
      <c r="H23" s="23" t="inlineStr">
        <is>
          <t>28-Apr-2026</t>
        </is>
      </c>
      <c r="I23" s="23" t="inlineStr">
        <is>
          <t>1. Login as Staff
2. Navigate to Activities tab</t>
        </is>
      </c>
      <c r="J23" s="23" t="inlineStr">
        <is>
          <t>Activities listed and visible</t>
        </is>
      </c>
      <c r="K23" s="23" t="inlineStr">
        <is>
          <t>Section empty despite activities existing</t>
        </is>
      </c>
      <c r="L23" s="23" t="inlineStr"/>
    </row>
    <row r="24" ht="55" customHeight="1">
      <c r="A24" s="20" t="inlineStr">
        <is>
          <t>BUG-023</t>
        </is>
      </c>
      <c r="B24" s="20" t="inlineStr">
        <is>
          <t>Staff Dashboard</t>
        </is>
      </c>
      <c r="C24" s="20" t="inlineStr">
        <is>
          <t>Booking tab does not display bookings</t>
        </is>
      </c>
      <c r="D24" s="20" t="inlineStr">
        <is>
          <t>UI</t>
        </is>
      </c>
      <c r="E24" s="21" t="inlineStr">
        <is>
          <t>HIGH</t>
        </is>
      </c>
      <c r="F24" s="20" t="inlineStr">
        <is>
          <t>Staff Dashboard</t>
        </is>
      </c>
      <c r="G24" s="28" t="inlineStr">
        <is>
          <t>Rejected</t>
        </is>
      </c>
      <c r="H24" s="20" t="inlineStr">
        <is>
          <t>28-Apr-2026</t>
        </is>
      </c>
      <c r="I24" s="20" t="inlineStr">
        <is>
          <t>1. Login as Staff
2. Navigate to Booking tab</t>
        </is>
      </c>
      <c r="J24" s="20" t="inlineStr">
        <is>
          <t>All bookings listed</t>
        </is>
      </c>
      <c r="K24" s="20" t="inlineStr">
        <is>
          <t>Section blank or fails to load</t>
        </is>
      </c>
      <c r="L24" s="20" t="inlineStr"/>
    </row>
    <row r="25" ht="55" customHeight="1">
      <c r="A25" s="23" t="inlineStr">
        <is>
          <t>BUG-024</t>
        </is>
      </c>
      <c r="B25" s="23" t="inlineStr">
        <is>
          <t>Staff Dashboard</t>
        </is>
      </c>
      <c r="C25" s="23" t="inlineStr">
        <is>
          <t>Analytics dashboard shows inaccurate numbers for staff</t>
        </is>
      </c>
      <c r="D25" s="23" t="inlineStr">
        <is>
          <t>FUNCTIONAL</t>
        </is>
      </c>
      <c r="E25" s="21" t="inlineStr">
        <is>
          <t>HIGH</t>
        </is>
      </c>
      <c r="F25" s="23" t="inlineStr">
        <is>
          <t>Staff Dashboard</t>
        </is>
      </c>
      <c r="G25" s="22" t="inlineStr">
        <is>
          <t>In Review</t>
        </is>
      </c>
      <c r="H25" s="23" t="inlineStr">
        <is>
          <t>28-Apr-2026</t>
        </is>
      </c>
      <c r="I25" s="23" t="inlineStr">
        <is>
          <t>1. Login as Staff
2. View Analytics dashboard
3. Compare with actual transaction logs</t>
        </is>
      </c>
      <c r="J25" s="23" t="inlineStr">
        <is>
          <t>Accurate analytics matching actual data</t>
        </is>
      </c>
      <c r="K25" s="23" t="inlineStr">
        <is>
          <t>Reported numbers do not match actual database values</t>
        </is>
      </c>
      <c r="L25" s="23" t="inlineStr"/>
    </row>
    <row r="26" ht="55" customHeight="1">
      <c r="A26" s="20" t="inlineStr">
        <is>
          <t>BUG-025</t>
        </is>
      </c>
      <c r="B26" s="20" t="inlineStr">
        <is>
          <t>Website</t>
        </is>
      </c>
      <c r="C26" s="20" t="inlineStr">
        <is>
          <t>Reviews carousel scrolls too fast — unreadable</t>
        </is>
      </c>
      <c r="D26" s="20" t="inlineStr">
        <is>
          <t>UI</t>
        </is>
      </c>
      <c r="E26" s="21" t="inlineStr">
        <is>
          <t>HIGH</t>
        </is>
      </c>
      <c r="F26" s="20" t="inlineStr">
        <is>
          <t>Website</t>
        </is>
      </c>
      <c r="G26" s="22" t="inlineStr">
        <is>
          <t>In Review</t>
        </is>
      </c>
      <c r="H26" s="20" t="inlineStr">
        <is>
          <t>28-Apr-2026</t>
        </is>
      </c>
      <c r="I26" s="20" t="inlineStr">
        <is>
          <t>1. Navigate to homepage reviews section
2. Observe 'Real experiences from real travelers' carousel</t>
        </is>
      </c>
      <c r="J26" s="20" t="inlineStr">
        <is>
          <t>Auto-scroll at readable pace or user-controlled</t>
        </is>
      </c>
      <c r="K26" s="20" t="inlineStr">
        <is>
          <t>Carousel moves too fast. Reviews disappear before user can read them</t>
        </is>
      </c>
      <c r="L26" s="20" t="inlineStr"/>
    </row>
    <row r="27" ht="55" customHeight="1">
      <c r="A27" s="23" t="inlineStr">
        <is>
          <t>BUG-026</t>
        </is>
      </c>
      <c r="B27" s="23" t="inlineStr">
        <is>
          <t>Website</t>
        </is>
      </c>
      <c r="C27" s="23" t="inlineStr">
        <is>
          <t>Page resets to top after language change</t>
        </is>
      </c>
      <c r="D27" s="23" t="inlineStr">
        <is>
          <t>UI</t>
        </is>
      </c>
      <c r="E27" s="24" t="inlineStr">
        <is>
          <t>MEDIUM</t>
        </is>
      </c>
      <c r="F27" s="23" t="inlineStr">
        <is>
          <t>Website</t>
        </is>
      </c>
      <c r="G27" s="22" t="inlineStr">
        <is>
          <t>In Review</t>
        </is>
      </c>
      <c r="H27" s="23" t="inlineStr">
        <is>
          <t>28-Apr-2026</t>
        </is>
      </c>
      <c r="I27" s="23" t="inlineStr">
        <is>
          <t>1. Scroll halfway down an activity page
2. Change website language</t>
        </is>
      </c>
      <c r="J27" s="23" t="inlineStr">
        <is>
          <t>Page reloads in new language preserving scroll position</t>
        </is>
      </c>
      <c r="K27" s="23" t="inlineStr">
        <is>
          <t>Page reloads and resets to top, losing user's position</t>
        </is>
      </c>
      <c r="L27" s="23" t="inlineStr"/>
    </row>
    <row r="28" ht="55" customHeight="1">
      <c r="A28" s="20" t="inlineStr">
        <is>
          <t>BUG-027</t>
        </is>
      </c>
      <c r="B28" s="20" t="inlineStr">
        <is>
          <t>Website</t>
        </is>
      </c>
      <c r="C28" s="20" t="inlineStr">
        <is>
          <t>English punctuation misaligned in Arabic interface</t>
        </is>
      </c>
      <c r="D28" s="20" t="inlineStr">
        <is>
          <t>UI</t>
        </is>
      </c>
      <c r="E28" s="24" t="inlineStr">
        <is>
          <t>MEDIUM</t>
        </is>
      </c>
      <c r="F28" s="20" t="inlineStr">
        <is>
          <t>Website</t>
        </is>
      </c>
      <c r="G28" s="22" t="inlineStr">
        <is>
          <t>In Review</t>
        </is>
      </c>
      <c r="H28" s="20" t="inlineStr">
        <is>
          <t>28-Apr-2026</t>
        </is>
      </c>
      <c r="I28" s="20" t="inlineStr">
        <is>
          <t>1. Set website language to Arabic
2. View any English text content</t>
        </is>
      </c>
      <c r="J28" s="20" t="inlineStr">
        <is>
          <t>English full stop appears at end of sentence</t>
        </is>
      </c>
      <c r="K28" s="20" t="inlineStr">
        <is>
          <t>Period appears at beginning of sentence</t>
        </is>
      </c>
      <c r="L28" s="20" t="inlineStr">
        <is>
          <t>RTL/LTR rendering issue</t>
        </is>
      </c>
    </row>
    <row r="29" ht="55" customHeight="1">
      <c r="A29" s="23" t="inlineStr">
        <is>
          <t>BUG-028</t>
        </is>
      </c>
      <c r="B29" s="23" t="inlineStr">
        <is>
          <t>Cart</t>
        </is>
      </c>
      <c r="C29" s="23" t="inlineStr">
        <is>
          <t>User must proceed with all cart items — no single item checkout</t>
        </is>
      </c>
      <c r="D29" s="23" t="inlineStr">
        <is>
          <t>UI</t>
        </is>
      </c>
      <c r="E29" s="21" t="inlineStr">
        <is>
          <t>HIGH</t>
        </is>
      </c>
      <c r="F29" s="23" t="inlineStr">
        <is>
          <t>Website</t>
        </is>
      </c>
      <c r="G29" s="22" t="inlineStr">
        <is>
          <t>In Review</t>
        </is>
      </c>
      <c r="H29" s="23" t="inlineStr">
        <is>
          <t>28-Apr-2026</t>
        </is>
      </c>
      <c r="I29" s="23" t="inlineStr">
        <is>
          <t>1. Add multiple tickets to cart
2. Attempt to checkout only one item</t>
        </is>
      </c>
      <c r="J29" s="23" t="inlineStr">
        <is>
          <t>Option to select individual items for checkout</t>
        </is>
      </c>
      <c r="K29" s="23" t="inlineStr">
        <is>
          <t>All items forced into checkout together</t>
        </is>
      </c>
      <c r="L29" s="23" t="inlineStr">
        <is>
          <t>Limits user flexibility</t>
        </is>
      </c>
    </row>
    <row r="30" ht="55" customHeight="1">
      <c r="A30" s="20" t="inlineStr">
        <is>
          <t>BUG-029</t>
        </is>
      </c>
      <c r="B30" s="20" t="inlineStr">
        <is>
          <t>Voucher</t>
        </is>
      </c>
      <c r="C30" s="20" t="inlineStr">
        <is>
          <t>Voucher PDF only available during booking — not after confirmation</t>
        </is>
      </c>
      <c r="D30" s="20" t="inlineStr">
        <is>
          <t>UI</t>
        </is>
      </c>
      <c r="E30" s="21" t="inlineStr">
        <is>
          <t>HIGH</t>
        </is>
      </c>
      <c r="F30" s="20" t="inlineStr">
        <is>
          <t>Website</t>
        </is>
      </c>
      <c r="G30" s="22" t="inlineStr">
        <is>
          <t>In Review</t>
        </is>
      </c>
      <c r="H30" s="20" t="inlineStr">
        <is>
          <t>28-Apr-2026</t>
        </is>
      </c>
      <c r="I30" s="20" t="inlineStr">
        <is>
          <t>1. Complete booking
2. Navigate away from confirmation page
3. Try to re-download voucher from booking history</t>
        </is>
      </c>
      <c r="J30" s="20" t="inlineStr">
        <is>
          <t>Voucher downloadable any time from account/booking history</t>
        </is>
      </c>
      <c r="K30" s="20" t="inlineStr">
        <is>
          <t>Download only available during booking flow. Not accessible after</t>
        </is>
      </c>
      <c r="L30" s="20" t="inlineStr"/>
    </row>
    <row r="31" ht="55" customHeight="1">
      <c r="A31" s="23" t="inlineStr">
        <is>
          <t>BUG-030</t>
        </is>
      </c>
      <c r="B31" s="23" t="inlineStr">
        <is>
          <t>Booking</t>
        </is>
      </c>
      <c r="C31" s="23" t="inlineStr">
        <is>
          <t>User unable to request ticket cancellation</t>
        </is>
      </c>
      <c r="D31" s="23" t="inlineStr">
        <is>
          <t>UI</t>
        </is>
      </c>
      <c r="E31" s="21" t="inlineStr">
        <is>
          <t>HIGH</t>
        </is>
      </c>
      <c r="F31" s="23" t="inlineStr">
        <is>
          <t>Website</t>
        </is>
      </c>
      <c r="G31" s="22" t="inlineStr">
        <is>
          <t>In Review</t>
        </is>
      </c>
      <c r="H31" s="23" t="inlineStr">
        <is>
          <t>28-Apr-2026</t>
        </is>
      </c>
      <c r="I31" s="23" t="inlineStr">
        <is>
          <t>1. Login
2. Go to booking history
3. Try to cancel a booking</t>
        </is>
      </c>
      <c r="J31" s="23" t="inlineStr">
        <is>
          <t>Cancellation option available for booked tickets</t>
        </is>
      </c>
      <c r="K31" s="23" t="inlineStr">
        <is>
          <t>Button missing, disabled, or non-functional</t>
        </is>
      </c>
      <c r="L31" s="23" t="inlineStr"/>
    </row>
    <row r="32" ht="55" customHeight="1">
      <c r="A32" s="20" t="inlineStr">
        <is>
          <t>BUG-031</t>
        </is>
      </c>
      <c r="B32" s="20" t="inlineStr">
        <is>
          <t>Search</t>
        </is>
      </c>
      <c r="C32" s="20" t="inlineStr">
        <is>
          <t>Search does not provide proper suggestions</t>
        </is>
      </c>
      <c r="D32" s="20" t="inlineStr">
        <is>
          <t>FUNCTIONAL</t>
        </is>
      </c>
      <c r="E32" s="24" t="inlineStr">
        <is>
          <t>MEDIUM</t>
        </is>
      </c>
      <c r="F32" s="20" t="inlineStr">
        <is>
          <t>Website</t>
        </is>
      </c>
      <c r="G32" s="22" t="inlineStr">
        <is>
          <t>In Review</t>
        </is>
      </c>
      <c r="H32" s="20" t="inlineStr">
        <is>
          <t>28-Apr-2026</t>
        </is>
      </c>
      <c r="I32" s="20" t="inlineStr">
        <is>
          <t>1. Click search bar
2. Type a query</t>
        </is>
      </c>
      <c r="J32" s="20" t="inlineStr">
        <is>
          <t>Relevant suggestions appear</t>
        </is>
      </c>
      <c r="K32" s="20" t="inlineStr">
        <is>
          <t>Suggestions unrelated or missing entirely</t>
        </is>
      </c>
      <c r="L32" s="20" t="inlineStr"/>
    </row>
    <row r="33" ht="55" customHeight="1">
      <c r="A33" s="23" t="inlineStr">
        <is>
          <t>BUG-032</t>
        </is>
      </c>
      <c r="B33" s="23" t="inlineStr">
        <is>
          <t>Search</t>
        </is>
      </c>
      <c r="C33" s="23" t="inlineStr">
        <is>
          <t>Search suggestions only appear after 3 characters</t>
        </is>
      </c>
      <c r="D33" s="23" t="inlineStr">
        <is>
          <t>FUNCTIONAL</t>
        </is>
      </c>
      <c r="E33" s="24" t="inlineStr">
        <is>
          <t>MEDIUM</t>
        </is>
      </c>
      <c r="F33" s="23" t="inlineStr">
        <is>
          <t>Website</t>
        </is>
      </c>
      <c r="G33" s="22" t="inlineStr">
        <is>
          <t>In Review</t>
        </is>
      </c>
      <c r="H33" s="23" t="inlineStr">
        <is>
          <t>28-Apr-2026</t>
        </is>
      </c>
      <c r="I33" s="23" t="inlineStr">
        <is>
          <t>1. Click search bar
2. Type 1–2 characters</t>
        </is>
      </c>
      <c r="J33" s="23" t="inlineStr">
        <is>
          <t>Suggestions appear from first character</t>
        </is>
      </c>
      <c r="K33" s="23" t="inlineStr">
        <is>
          <t>No suggestions until 3 characters entered</t>
        </is>
      </c>
      <c r="L33" s="23" t="inlineStr"/>
    </row>
    <row r="34" ht="55" customHeight="1">
      <c r="A34" s="20" t="inlineStr">
        <is>
          <t>BUG-033</t>
        </is>
      </c>
      <c r="B34" s="20" t="inlineStr">
        <is>
          <t>Cart</t>
        </is>
      </c>
      <c r="C34" s="20" t="inlineStr">
        <is>
          <t>Cart item count unclear when exceeding 100 tickets</t>
        </is>
      </c>
      <c r="D34" s="20" t="inlineStr">
        <is>
          <t>UI</t>
        </is>
      </c>
      <c r="E34" s="24" t="inlineStr">
        <is>
          <t>MEDIUM</t>
        </is>
      </c>
      <c r="F34" s="20" t="inlineStr">
        <is>
          <t>Website</t>
        </is>
      </c>
      <c r="G34" s="22" t="inlineStr">
        <is>
          <t>In Review</t>
        </is>
      </c>
      <c r="H34" s="20" t="inlineStr">
        <is>
          <t>28-Apr-2026</t>
        </is>
      </c>
      <c r="I34" s="20" t="inlineStr">
        <is>
          <t>1. Add more than 100 tickets to cart
2. Check cart counter</t>
        </is>
      </c>
      <c r="J34" s="20" t="inlineStr">
        <is>
          <t>Counter displays exact number clearly</t>
        </is>
      </c>
      <c r="K34" s="20" t="inlineStr">
        <is>
          <t>Digits overlap, truncate, or become visually unclear</t>
        </is>
      </c>
      <c r="L34" s="20" t="inlineStr"/>
    </row>
    <row r="35" ht="55" customHeight="1">
      <c r="A35" s="23" t="inlineStr">
        <is>
          <t>BUG-034</t>
        </is>
      </c>
      <c r="B35" s="23" t="inlineStr">
        <is>
          <t>Search/Filter</t>
        </is>
      </c>
      <c r="C35" s="23" t="inlineStr">
        <is>
          <t>Date filter returns all bookings instead of filtered results</t>
        </is>
      </c>
      <c r="D35" s="23" t="inlineStr">
        <is>
          <t>FUNCTIONAL</t>
        </is>
      </c>
      <c r="E35" s="21" t="inlineStr">
        <is>
          <t>HIGH</t>
        </is>
      </c>
      <c r="F35" s="23" t="inlineStr">
        <is>
          <t>Website</t>
        </is>
      </c>
      <c r="G35" s="28" t="inlineStr">
        <is>
          <t>Rejected</t>
        </is>
      </c>
      <c r="H35" s="23" t="inlineStr">
        <is>
          <t>28-Apr-2026</t>
        </is>
      </c>
      <c r="I35" s="23" t="inlineStr">
        <is>
          <t>1. Go to booking page
2. Apply date filter
3. Observe results</t>
        </is>
      </c>
      <c r="J35" s="23" t="inlineStr">
        <is>
          <t>Only bookings within selected date range shown</t>
        </is>
      </c>
      <c r="K35" s="23" t="inlineStr">
        <is>
          <t>All bookings displayed regardless of filter</t>
        </is>
      </c>
      <c r="L35" s="23" t="inlineStr">
        <is>
          <t>Filter completely non-functional</t>
        </is>
      </c>
    </row>
    <row r="36" ht="55" customHeight="1">
      <c r="A36" s="20" t="inlineStr">
        <is>
          <t>BUG-035</t>
        </is>
      </c>
      <c r="B36" s="20" t="inlineStr">
        <is>
          <t>Reviews</t>
        </is>
      </c>
      <c r="C36" s="20" t="inlineStr">
        <is>
          <t>User unable to post a review on activity</t>
        </is>
      </c>
      <c r="D36" s="20" t="inlineStr">
        <is>
          <t>FUNCTIONAL</t>
        </is>
      </c>
      <c r="E36" s="24" t="inlineStr">
        <is>
          <t>MEDIUM</t>
        </is>
      </c>
      <c r="F36" s="20" t="inlineStr">
        <is>
          <t>Website</t>
        </is>
      </c>
      <c r="G36" s="22" t="inlineStr">
        <is>
          <t>In Review</t>
        </is>
      </c>
      <c r="H36" s="20" t="inlineStr">
        <is>
          <t>28-Apr-2026</t>
        </is>
      </c>
      <c r="I36" s="20" t="inlineStr">
        <is>
          <t>1. Open an activity page
2. Fill in review form
3. Click Submit</t>
        </is>
      </c>
      <c r="J36" s="20" t="inlineStr">
        <is>
          <t>Review posted and visible on activity page</t>
        </is>
      </c>
      <c r="K36" s="20" t="inlineStr">
        <is>
          <t>Submit fails silently. No confirmation. Review not posted</t>
        </is>
      </c>
      <c r="L36" s="20" t="inlineStr"/>
    </row>
    <row r="37" ht="55" customHeight="1">
      <c r="A37" s="23" t="inlineStr">
        <is>
          <t>BUG-036</t>
        </is>
      </c>
      <c r="B37" s="23" t="inlineStr">
        <is>
          <t>Email</t>
        </is>
      </c>
      <c r="C37" s="23" t="inlineStr">
        <is>
          <t>Confirmation email not received after ticket booking</t>
        </is>
      </c>
      <c r="D37" s="23" t="inlineStr">
        <is>
          <t>FUNCTIONAL</t>
        </is>
      </c>
      <c r="E37" s="21" t="inlineStr">
        <is>
          <t>HIGH</t>
        </is>
      </c>
      <c r="F37" s="23" t="inlineStr">
        <is>
          <t>Website</t>
        </is>
      </c>
      <c r="G37" s="28" t="inlineStr">
        <is>
          <t>Rejected</t>
        </is>
      </c>
      <c r="H37" s="23" t="inlineStr">
        <is>
          <t>28-Apr-2026</t>
        </is>
      </c>
      <c r="I37" s="23" t="inlineStr">
        <is>
          <t>1. Complete ticket booking
2. Check inbox of registered email</t>
        </is>
      </c>
      <c r="J37" s="23" t="inlineStr">
        <is>
          <t>Confirmation email delivered immediately after booking</t>
        </is>
      </c>
      <c r="K37" s="23" t="inlineStr">
        <is>
          <t>No confirmation email received</t>
        </is>
      </c>
      <c r="L37" s="23" t="inlineStr"/>
    </row>
    <row r="38" ht="55" customHeight="1">
      <c r="A38" s="20" t="inlineStr">
        <is>
          <t>BUG-037</t>
        </is>
      </c>
      <c r="B38" s="20" t="inlineStr">
        <is>
          <t>Security</t>
        </is>
      </c>
      <c r="C38" s="20" t="inlineStr">
        <is>
          <t>User session does not expire after inactivity</t>
        </is>
      </c>
      <c r="D38" s="20" t="inlineStr">
        <is>
          <t>SECURITY</t>
        </is>
      </c>
      <c r="E38" s="21" t="inlineStr">
        <is>
          <t>HIGH</t>
        </is>
      </c>
      <c r="F38" s="20" t="inlineStr">
        <is>
          <t>Website</t>
        </is>
      </c>
      <c r="G38" s="27" t="inlineStr">
        <is>
          <t>Open</t>
        </is>
      </c>
      <c r="H38" s="20" t="inlineStr">
        <is>
          <t>28-Apr-2026</t>
        </is>
      </c>
      <c r="I38" s="20" t="inlineStr">
        <is>
          <t>1. Login to website
2. Leave tab open without activity for extended period</t>
        </is>
      </c>
      <c r="J38" s="20" t="inlineStr">
        <is>
          <t>Session expires and user is automatically logged out</t>
        </is>
      </c>
      <c r="K38" s="20" t="inlineStr">
        <is>
          <t>User remains logged in indefinitely</t>
        </is>
      </c>
      <c r="L38" s="20" t="inlineStr">
        <is>
          <t>Security risk on shared/public devices</t>
        </is>
      </c>
    </row>
    <row r="39" ht="55" customHeight="1">
      <c r="A39" s="23" t="inlineStr">
        <is>
          <t>BUG-038</t>
        </is>
      </c>
      <c r="B39" s="23" t="inlineStr">
        <is>
          <t>UI</t>
        </is>
      </c>
      <c r="C39" s="23" t="inlineStr">
        <is>
          <t>Welcome text cut off in landscape orientation on mobile</t>
        </is>
      </c>
      <c r="D39" s="23" t="inlineStr">
        <is>
          <t>UI</t>
        </is>
      </c>
      <c r="E39" s="21" t="inlineStr">
        <is>
          <t>HIGH</t>
        </is>
      </c>
      <c r="F39" s="23" t="inlineStr">
        <is>
          <t>Website</t>
        </is>
      </c>
      <c r="G39" s="22" t="inlineStr">
        <is>
          <t>In Review</t>
        </is>
      </c>
      <c r="H39" s="23" t="inlineStr">
        <is>
          <t>28-Apr-2026</t>
        </is>
      </c>
      <c r="I39" s="23" t="inlineStr">
        <is>
          <t>1. Open website on mobile in portrait
2. Rotate to landscape</t>
        </is>
      </c>
      <c r="J39" s="23" t="inlineStr">
        <is>
          <t>Welcome text adjusts to fit landscape layout</t>
        </is>
      </c>
      <c r="K39" s="23" t="inlineStr">
        <is>
          <t>Text cut off — only half visible in landscape mode</t>
        </is>
      </c>
      <c r="L39" s="23" t="inlineStr"/>
    </row>
    <row r="40" ht="55" customHeight="1">
      <c r="A40" s="20" t="inlineStr">
        <is>
          <t>BUG-039</t>
        </is>
      </c>
      <c r="B40" s="20" t="inlineStr">
        <is>
          <t>Supplier Dashboard</t>
        </is>
      </c>
      <c r="C40" s="20" t="inlineStr">
        <is>
          <t>Multiple partner applications accepted but only last reflects</t>
        </is>
      </c>
      <c r="D40" s="20" t="inlineStr">
        <is>
          <t>FUNCTIONAL</t>
        </is>
      </c>
      <c r="E40" s="21" t="inlineStr">
        <is>
          <t>HIGH</t>
        </is>
      </c>
      <c r="F40" s="20" t="inlineStr">
        <is>
          <t>Supplier Dashboard</t>
        </is>
      </c>
      <c r="G40" s="27" t="inlineStr">
        <is>
          <t>Open</t>
        </is>
      </c>
      <c r="H40" s="20" t="inlineStr">
        <is>
          <t>28-Apr-2026</t>
        </is>
      </c>
      <c r="I40" s="20" t="inlineStr">
        <is>
          <t>1. Submit multiple role applications (supplier, affiliate, content creator)
2. Approve all</t>
        </is>
      </c>
      <c r="J40" s="20" t="inlineStr">
        <is>
          <t>All approved roles reflected in system</t>
        </is>
      </c>
      <c r="K40" s="20" t="inlineStr">
        <is>
          <t>Only last approved application reflected</t>
        </is>
      </c>
      <c r="L40" s="20" t="inlineStr"/>
    </row>
    <row r="41" ht="55" customHeight="1">
      <c r="A41" s="23" t="inlineStr">
        <is>
          <t>BUG-040</t>
        </is>
      </c>
      <c r="B41" s="23" t="inlineStr">
        <is>
          <t>Admin Dashboard</t>
        </is>
      </c>
      <c r="C41" s="23" t="inlineStr">
        <is>
          <t>Partner application can be approved after rejection</t>
        </is>
      </c>
      <c r="D41" s="23" t="inlineStr">
        <is>
          <t>FUNCTIONAL</t>
        </is>
      </c>
      <c r="E41" s="21" t="inlineStr">
        <is>
          <t>HIGH</t>
        </is>
      </c>
      <c r="F41" s="23" t="inlineStr">
        <is>
          <t>Admin Dashboard</t>
        </is>
      </c>
      <c r="G41" s="27" t="inlineStr">
        <is>
          <t>Open</t>
        </is>
      </c>
      <c r="H41" s="23" t="inlineStr">
        <is>
          <t>28-Apr-2026</t>
        </is>
      </c>
      <c r="I41" s="23" t="inlineStr">
        <is>
          <t>1. Reject a partner application
2. Attempt to approve same application later</t>
        </is>
      </c>
      <c r="J41" s="23" t="inlineStr">
        <is>
          <t>Rejected application cannot be re-approved</t>
        </is>
      </c>
      <c r="K41" s="23" t="inlineStr">
        <is>
          <t>Record persists and can be approved after rejection</t>
        </is>
      </c>
      <c r="L41" s="23" t="inlineStr">
        <is>
          <t>Workflow logic flaw</t>
        </is>
      </c>
    </row>
    <row r="42" ht="55" customHeight="1">
      <c r="A42" s="20" t="inlineStr">
        <is>
          <t>BUG-041</t>
        </is>
      </c>
      <c r="B42" s="20" t="inlineStr">
        <is>
          <t>Security</t>
        </is>
      </c>
      <c r="C42" s="20" t="inlineStr">
        <is>
          <t>Affiliate can request payout (should be read-only)</t>
        </is>
      </c>
      <c r="D42" s="20" t="inlineStr">
        <is>
          <t>SECURITY</t>
        </is>
      </c>
      <c r="E42" s="21" t="inlineStr">
        <is>
          <t>HIGH</t>
        </is>
      </c>
      <c r="F42" s="20" t="inlineStr">
        <is>
          <t>Supplier Dashboard</t>
        </is>
      </c>
      <c r="G42" s="22" t="inlineStr">
        <is>
          <t>In Review</t>
        </is>
      </c>
      <c r="H42" s="20" t="inlineStr">
        <is>
          <t>28-Apr-2026</t>
        </is>
      </c>
      <c r="I42" s="20" t="inlineStr">
        <is>
          <t>1. Login as Affiliate
2. Navigate to Finance tab
3. Attempt payout request</t>
        </is>
      </c>
      <c r="J42" s="20" t="inlineStr">
        <is>
          <t>Affiliate Finance tab is read-only</t>
        </is>
      </c>
      <c r="K42" s="20" t="inlineStr">
        <is>
          <t>Affiliate can submit payout requests</t>
        </is>
      </c>
      <c r="L42" s="20" t="inlineStr">
        <is>
          <t>RBAC violation</t>
        </is>
      </c>
    </row>
    <row r="43" ht="55" customHeight="1">
      <c r="A43" s="23" t="inlineStr">
        <is>
          <t>BUG-042</t>
        </is>
      </c>
      <c r="B43" s="23" t="inlineStr">
        <is>
          <t>Security</t>
        </is>
      </c>
      <c r="C43" s="23" t="inlineStr">
        <is>
          <t>Affiliate can cancel/confirm bookings (should be read-only)</t>
        </is>
      </c>
      <c r="D43" s="23" t="inlineStr">
        <is>
          <t>FUNCTIONAL</t>
        </is>
      </c>
      <c r="E43" s="21" t="inlineStr">
        <is>
          <t>HIGH</t>
        </is>
      </c>
      <c r="F43" s="23" t="inlineStr">
        <is>
          <t>Admin Dashboard</t>
        </is>
      </c>
      <c r="G43" s="22" t="inlineStr">
        <is>
          <t>In Review</t>
        </is>
      </c>
      <c r="H43" s="23" t="inlineStr">
        <is>
          <t>28-Apr-2026</t>
        </is>
      </c>
      <c r="I43" s="23" t="inlineStr">
        <is>
          <t>1. Login as Affiliate
2. Navigate to bookings
3. Attempt to cancel or confirm</t>
        </is>
      </c>
      <c r="J43" s="23" t="inlineStr">
        <is>
          <t>Affiliates have view-only access to bookings</t>
        </is>
      </c>
      <c r="K43" s="23" t="inlineStr">
        <is>
          <t>Affiliates can cancel and confirm bookings</t>
        </is>
      </c>
      <c r="L43" s="23" t="inlineStr">
        <is>
          <t>RBAC violation</t>
        </is>
      </c>
    </row>
    <row r="44" ht="55" customHeight="1">
      <c r="A44" s="20" t="inlineStr">
        <is>
          <t>BUG-043</t>
        </is>
      </c>
      <c r="B44" s="20" t="inlineStr">
        <is>
          <t>Security</t>
        </is>
      </c>
      <c r="C44" s="20" t="inlineStr">
        <is>
          <t>Supplier account active after ban/freeze</t>
        </is>
      </c>
      <c r="D44" s="20" t="inlineStr">
        <is>
          <t>SECURITY</t>
        </is>
      </c>
      <c r="E44" s="26" t="inlineStr">
        <is>
          <t>CRITICAL</t>
        </is>
      </c>
      <c r="F44" s="20" t="inlineStr">
        <is>
          <t>Admin Dashboard</t>
        </is>
      </c>
      <c r="G44" s="27" t="inlineStr">
        <is>
          <t>Open</t>
        </is>
      </c>
      <c r="H44" s="20" t="inlineStr">
        <is>
          <t>28-Apr-2026</t>
        </is>
      </c>
      <c r="I44" s="20" t="inlineStr">
        <is>
          <t>1. Login as Admin
2. Ban/freeze a supplier account
3. Login as that supplier</t>
        </is>
      </c>
      <c r="J44" s="20" t="inlineStr">
        <is>
          <t>Banned supplier cannot login or use system</t>
        </is>
      </c>
      <c r="K44" s="20" t="inlineStr">
        <is>
          <t>Supplier can still login and use system after ban</t>
        </is>
      </c>
      <c r="L44" s="20" t="inlineStr">
        <is>
          <t>Critical security flaw</t>
        </is>
      </c>
    </row>
    <row r="45" ht="55" customHeight="1">
      <c r="A45" s="23" t="inlineStr">
        <is>
          <t>BUG-044</t>
        </is>
      </c>
      <c r="B45" s="23" t="inlineStr">
        <is>
          <t>Security</t>
        </is>
      </c>
      <c r="C45" s="23" t="inlineStr">
        <is>
          <t>Supplier can request payout (should be read-only)</t>
        </is>
      </c>
      <c r="D45" s="23" t="inlineStr">
        <is>
          <t>SECURITY</t>
        </is>
      </c>
      <c r="E45" s="21" t="inlineStr">
        <is>
          <t>HIGH</t>
        </is>
      </c>
      <c r="F45" s="23" t="inlineStr">
        <is>
          <t>Supplier Dashboard</t>
        </is>
      </c>
      <c r="G45" s="27" t="inlineStr">
        <is>
          <t>Open</t>
        </is>
      </c>
      <c r="H45" s="23" t="inlineStr">
        <is>
          <t>28-Apr-2026</t>
        </is>
      </c>
      <c r="I45" s="23" t="inlineStr">
        <is>
          <t>1. Login as Supplier
2. Navigate to Finance tab
3. Attempt payout request</t>
        </is>
      </c>
      <c r="J45" s="23" t="inlineStr">
        <is>
          <t>Supplier Finance tab is view-only</t>
        </is>
      </c>
      <c r="K45" s="23" t="inlineStr">
        <is>
          <t>Supplier can submit payout requests</t>
        </is>
      </c>
      <c r="L45" s="23" t="inlineStr">
        <is>
          <t>RBAC violation</t>
        </is>
      </c>
    </row>
    <row r="46" ht="55" customHeight="1">
      <c r="A46" s="20" t="inlineStr">
        <is>
          <t>BUG-045</t>
        </is>
      </c>
      <c r="B46" s="20" t="inlineStr">
        <is>
          <t>Security</t>
        </is>
      </c>
      <c r="C46" s="20" t="inlineStr">
        <is>
          <t>Supplier can publish reviews (should be read-only)</t>
        </is>
      </c>
      <c r="D46" s="20" t="inlineStr">
        <is>
          <t>SECURITY</t>
        </is>
      </c>
      <c r="E46" s="21" t="inlineStr">
        <is>
          <t>HIGH</t>
        </is>
      </c>
      <c r="F46" s="20" t="inlineStr">
        <is>
          <t>Supplier Dashboard</t>
        </is>
      </c>
      <c r="G46" s="27" t="inlineStr">
        <is>
          <t>Open</t>
        </is>
      </c>
      <c r="H46" s="20" t="inlineStr">
        <is>
          <t>28-Apr-2026</t>
        </is>
      </c>
      <c r="I46" s="20" t="inlineStr">
        <is>
          <t>1. Login as Supplier
2. Navigate to Reviews
3. Attempt to publish a review</t>
        </is>
      </c>
      <c r="J46" s="20" t="inlineStr">
        <is>
          <t>Reviews are read-only for suppliers</t>
        </is>
      </c>
      <c r="K46" s="20" t="inlineStr">
        <is>
          <t>Supplier can publish reviews</t>
        </is>
      </c>
      <c r="L46" s="20" t="inlineStr">
        <is>
          <t>RBAC violation</t>
        </is>
      </c>
    </row>
    <row r="47" ht="55" customHeight="1">
      <c r="A47" s="23" t="inlineStr">
        <is>
          <t>BUG-046</t>
        </is>
      </c>
      <c r="B47" s="23" t="inlineStr">
        <is>
          <t>Supplier Dashboard</t>
        </is>
      </c>
      <c r="C47" s="23" t="inlineStr">
        <is>
          <t>Attractions tab missing in Supplier Dashboard</t>
        </is>
      </c>
      <c r="D47" s="23" t="inlineStr">
        <is>
          <t>SECURITY</t>
        </is>
      </c>
      <c r="E47" s="21" t="inlineStr">
        <is>
          <t>HIGH</t>
        </is>
      </c>
      <c r="F47" s="23" t="inlineStr">
        <is>
          <t>Supplier Dashboard</t>
        </is>
      </c>
      <c r="G47" s="27" t="inlineStr">
        <is>
          <t>Open</t>
        </is>
      </c>
      <c r="H47" s="23" t="inlineStr">
        <is>
          <t>28-Apr-2026</t>
        </is>
      </c>
      <c r="I47" s="23" t="inlineStr">
        <is>
          <t>1. Login as Supplier
2. Navigate dashboard menu</t>
        </is>
      </c>
      <c r="J47" s="23" t="inlineStr">
        <is>
          <t>Attractions tab visible and accessible</t>
        </is>
      </c>
      <c r="K47" s="23" t="inlineStr">
        <is>
          <t>Attractions tab not shown</t>
        </is>
      </c>
      <c r="L47" s="23" t="inlineStr"/>
    </row>
    <row r="48" ht="55" customHeight="1">
      <c r="A48" s="20" t="inlineStr">
        <is>
          <t>BUG-047</t>
        </is>
      </c>
      <c r="B48" s="20" t="inlineStr">
        <is>
          <t>Supplier Dashboard</t>
        </is>
      </c>
      <c r="C48" s="20" t="inlineStr">
        <is>
          <t>Affiliate Links submission fails with all data entered</t>
        </is>
      </c>
      <c r="D48" s="20" t="inlineStr">
        <is>
          <t>PERFORMANCE</t>
        </is>
      </c>
      <c r="E48" s="21" t="inlineStr">
        <is>
          <t>HIGH</t>
        </is>
      </c>
      <c r="F48" s="20" t="inlineStr">
        <is>
          <t>Supplier Dashboard</t>
        </is>
      </c>
      <c r="G48" s="22" t="inlineStr">
        <is>
          <t>In Review</t>
        </is>
      </c>
      <c r="H48" s="20" t="inlineStr">
        <is>
          <t>28-Apr-2026</t>
        </is>
      </c>
      <c r="I48" s="20" t="inlineStr">
        <is>
          <t>1. Login as Supplier
2. Fill all fields in Affiliate Links form
3. Submit</t>
        </is>
      </c>
      <c r="J48" s="20" t="inlineStr">
        <is>
          <t>Form submits successfully</t>
        </is>
      </c>
      <c r="K48" s="20" t="inlineStr">
        <is>
          <t>'Please fill all data' error shown despite all fields completed</t>
        </is>
      </c>
      <c r="L48" s="20" t="inlineStr">
        <is>
          <t>False validation error</t>
        </is>
      </c>
    </row>
    <row r="49" ht="55" customHeight="1">
      <c r="A49" s="23" t="inlineStr">
        <is>
          <t>BUG-048</t>
        </is>
      </c>
      <c r="B49" s="23" t="inlineStr">
        <is>
          <t>Supplier Dashboard</t>
        </is>
      </c>
      <c r="C49" s="23" t="inlineStr">
        <is>
          <t>Supplier cannot create activity in Inventory (403 Error)</t>
        </is>
      </c>
      <c r="D49" s="23" t="inlineStr">
        <is>
          <t>SECURITY</t>
        </is>
      </c>
      <c r="E49" s="21" t="inlineStr">
        <is>
          <t>HIGH</t>
        </is>
      </c>
      <c r="F49" s="23" t="inlineStr">
        <is>
          <t>Supplier Dashboard</t>
        </is>
      </c>
      <c r="G49" s="27" t="inlineStr">
        <is>
          <t>Open</t>
        </is>
      </c>
      <c r="H49" s="23" t="inlineStr">
        <is>
          <t>28-Apr-2026</t>
        </is>
      </c>
      <c r="I49" s="23" t="inlineStr">
        <is>
          <t>1. Login as Supplier
2. Go to Inventory
3. Create new activity</t>
        </is>
      </c>
      <c r="J49" s="23" t="inlineStr">
        <is>
          <t>Supplier can create activities in their inventory</t>
        </is>
      </c>
      <c r="K49" s="23" t="inlineStr">
        <is>
          <t>403 Forbidden error returned</t>
        </is>
      </c>
      <c r="L49" s="23" t="inlineStr">
        <is>
          <t>Permission configuration issue</t>
        </is>
      </c>
    </row>
    <row r="50" ht="55" customHeight="1">
      <c r="A50" s="20" t="inlineStr">
        <is>
          <t>BUG-049</t>
        </is>
      </c>
      <c r="B50" s="20" t="inlineStr">
        <is>
          <t>Supplier Dashboard</t>
        </is>
      </c>
      <c r="C50" s="20" t="inlineStr">
        <is>
          <t>Supplier activities access limited to view-only</t>
        </is>
      </c>
      <c r="D50" s="20" t="inlineStr">
        <is>
          <t>SECURITY</t>
        </is>
      </c>
      <c r="E50" s="21" t="inlineStr">
        <is>
          <t>HIGH</t>
        </is>
      </c>
      <c r="F50" s="20" t="inlineStr">
        <is>
          <t>Supplier Dashboard</t>
        </is>
      </c>
      <c r="G50" s="22" t="inlineStr">
        <is>
          <t>In Review</t>
        </is>
      </c>
      <c r="H50" s="20" t="inlineStr">
        <is>
          <t>28-Apr-2026</t>
        </is>
      </c>
      <c r="I50" s="20" t="inlineStr">
        <is>
          <t>1. Login as Supplier
2. Go to Partner Dashboard activities
3. Try to add/edit/delete</t>
        </is>
      </c>
      <c r="J50" s="20" t="inlineStr">
        <is>
          <t>Supplier has full CRUD access to their activities</t>
        </is>
      </c>
      <c r="K50" s="20" t="inlineStr">
        <is>
          <t>Only view access available</t>
        </is>
      </c>
      <c r="L50" s="20" t="inlineStr"/>
    </row>
    <row r="51" ht="55" customHeight="1">
      <c r="A51" s="23" t="inlineStr">
        <is>
          <t>BUG-050</t>
        </is>
      </c>
      <c r="B51" s="23" t="inlineStr">
        <is>
          <t>Security</t>
        </is>
      </c>
      <c r="C51" s="23" t="inlineStr">
        <is>
          <t>Supplier can cancel bookings (should be read-only)</t>
        </is>
      </c>
      <c r="D51" s="23" t="inlineStr">
        <is>
          <t>SECURITY</t>
        </is>
      </c>
      <c r="E51" s="21" t="inlineStr">
        <is>
          <t>HIGH</t>
        </is>
      </c>
      <c r="F51" s="23" t="inlineStr">
        <is>
          <t>Supplier Dashboard</t>
        </is>
      </c>
      <c r="G51" s="22" t="inlineStr">
        <is>
          <t>In Review</t>
        </is>
      </c>
      <c r="H51" s="23" t="inlineStr">
        <is>
          <t>28-Apr-2026</t>
        </is>
      </c>
      <c r="I51" s="23" t="inlineStr">
        <is>
          <t>1. Login as Supplier
2. Navigate to bookings
3. Attempt to cancel</t>
        </is>
      </c>
      <c r="J51" s="23" t="inlineStr">
        <is>
          <t>Suppliers have read-only booking access</t>
        </is>
      </c>
      <c r="K51" s="23" t="inlineStr">
        <is>
          <t>Supplier can cancel bookings</t>
        </is>
      </c>
      <c r="L51" s="23" t="inlineStr">
        <is>
          <t>RBAC violation</t>
        </is>
      </c>
    </row>
    <row r="52" ht="55" customHeight="1">
      <c r="A52" s="20" t="inlineStr">
        <is>
          <t>BUG-051</t>
        </is>
      </c>
      <c r="B52" s="20" t="inlineStr">
        <is>
          <t>Partner Dashboard</t>
        </is>
      </c>
      <c r="C52" s="20" t="inlineStr">
        <is>
          <t>Notifications missing in Partner Dashboard</t>
        </is>
      </c>
      <c r="D52" s="20" t="inlineStr">
        <is>
          <t>UI</t>
        </is>
      </c>
      <c r="E52" s="21" t="inlineStr">
        <is>
          <t>HIGH</t>
        </is>
      </c>
      <c r="F52" s="20" t="inlineStr">
        <is>
          <t>Partner Dashboard</t>
        </is>
      </c>
      <c r="G52" s="27" t="inlineStr">
        <is>
          <t>Open</t>
        </is>
      </c>
      <c r="H52" s="20" t="inlineStr">
        <is>
          <t>28-Apr-2026</t>
        </is>
      </c>
      <c r="I52" s="20" t="inlineStr">
        <is>
          <t>1. Login as Partner
2. Check notifications area</t>
        </is>
      </c>
      <c r="J52" s="20" t="inlineStr">
        <is>
          <t>Notifications displayed for bookings, commissions, updates</t>
        </is>
      </c>
      <c r="K52" s="20" t="inlineStr">
        <is>
          <t>No notifications shown anywhere in dashboard</t>
        </is>
      </c>
      <c r="L52" s="20" t="inlineStr"/>
    </row>
    <row r="53" ht="55" customHeight="1">
      <c r="A53" s="23" t="inlineStr">
        <is>
          <t>BUG-052</t>
        </is>
      </c>
      <c r="B53" s="23" t="inlineStr">
        <is>
          <t>Admin Dashboard</t>
        </is>
      </c>
      <c r="C53" s="23" t="inlineStr">
        <is>
          <t>Partner tab does not show all partners</t>
        </is>
      </c>
      <c r="D53" s="23" t="inlineStr">
        <is>
          <t>FUNCTIONAL</t>
        </is>
      </c>
      <c r="E53" s="21" t="inlineStr">
        <is>
          <t>HIGH</t>
        </is>
      </c>
      <c r="F53" s="23" t="inlineStr">
        <is>
          <t>Admin Dashboard</t>
        </is>
      </c>
      <c r="G53" s="27" t="inlineStr">
        <is>
          <t>Open</t>
        </is>
      </c>
      <c r="H53" s="23" t="inlineStr">
        <is>
          <t>28-Apr-2026</t>
        </is>
      </c>
      <c r="I53" s="23" t="inlineStr">
        <is>
          <t>1. Login as Admin
2. Navigate to Partner tab
3. Count listed partners</t>
        </is>
      </c>
      <c r="J53" s="23" t="inlineStr">
        <is>
          <t>All registered partners displayed</t>
        </is>
      </c>
      <c r="K53" s="23" t="inlineStr">
        <is>
          <t>Only subset appears — some partners missing</t>
        </is>
      </c>
      <c r="L53" s="23" t="inlineStr"/>
    </row>
    <row r="54" ht="55" customHeight="1">
      <c r="A54" s="20" t="inlineStr">
        <is>
          <t>BUG-053</t>
        </is>
      </c>
      <c r="B54" s="20" t="inlineStr">
        <is>
          <t>Partner Dashboard</t>
        </is>
      </c>
      <c r="C54" s="20" t="inlineStr">
        <is>
          <t>Partner Dashboard not loading</t>
        </is>
      </c>
      <c r="D54" s="20" t="inlineStr">
        <is>
          <t>FUNCTIONAL</t>
        </is>
      </c>
      <c r="E54" s="26" t="inlineStr">
        <is>
          <t>CRITICAL</t>
        </is>
      </c>
      <c r="F54" s="20" t="inlineStr">
        <is>
          <t>Partner Dashboard</t>
        </is>
      </c>
      <c r="G54" s="28" t="inlineStr">
        <is>
          <t>Rejected</t>
        </is>
      </c>
      <c r="H54" s="20" t="inlineStr">
        <is>
          <t>28-Apr-2026</t>
        </is>
      </c>
      <c r="I54" s="20" t="inlineStr">
        <is>
          <t>1. Login as Partner
2. Navigate to Partner Dashboard</t>
        </is>
      </c>
      <c r="J54" s="20" t="inlineStr">
        <is>
          <t>Dashboard loads fully with all partner data</t>
        </is>
      </c>
      <c r="K54" s="20" t="inlineStr">
        <is>
          <t>System does not respond or fails to load</t>
        </is>
      </c>
      <c r="L54" s="20" t="inlineStr"/>
    </row>
    <row r="55" ht="55" customHeight="1">
      <c r="A55" s="23" t="inlineStr">
        <is>
          <t>BUG-054</t>
        </is>
      </c>
      <c r="B55" s="23" t="inlineStr">
        <is>
          <t>Supplier Dashboard</t>
        </is>
      </c>
      <c r="C55" s="23" t="inlineStr">
        <is>
          <t>Supplier form accepts invalid input (Company Name/Phone)</t>
        </is>
      </c>
      <c r="D55" s="23" t="inlineStr">
        <is>
          <t>UI</t>
        </is>
      </c>
      <c r="E55" s="21" t="inlineStr">
        <is>
          <t>HIGH</t>
        </is>
      </c>
      <c r="F55" s="23" t="inlineStr">
        <is>
          <t>Supplier Dashboard</t>
        </is>
      </c>
      <c r="G55" s="28" t="inlineStr">
        <is>
          <t>Rejected</t>
        </is>
      </c>
      <c r="H55" s="23" t="inlineStr">
        <is>
          <t>27-Apr-2026</t>
        </is>
      </c>
      <c r="I55" s="23" t="inlineStr">
        <is>
          <t>1. Open supplier registration form
2. Enter numbers in Company Name
3. Enter email in Phone Number field</t>
        </is>
      </c>
      <c r="J55" s="23" t="inlineStr">
        <is>
          <t>Validation rejects invalid input types</t>
        </is>
      </c>
      <c r="K55" s="23" t="inlineStr">
        <is>
          <t>Company Name accepts numbers; Phone accepts email addresses</t>
        </is>
      </c>
      <c r="L55" s="23" t="inlineStr">
        <is>
          <t>Missing field validation</t>
        </is>
      </c>
    </row>
    <row r="56" ht="55" customHeight="1">
      <c r="A56" s="20" t="inlineStr">
        <is>
          <t>BUG-055</t>
        </is>
      </c>
      <c r="B56" s="20" t="inlineStr">
        <is>
          <t>Supplier Dashboard</t>
        </is>
      </c>
      <c r="C56" s="20" t="inlineStr">
        <is>
          <t>Supplier form accepts invalid input (functional)</t>
        </is>
      </c>
      <c r="D56" s="20" t="inlineStr">
        <is>
          <t>FUNCTIONAL</t>
        </is>
      </c>
      <c r="E56" s="21" t="inlineStr">
        <is>
          <t>HIGH</t>
        </is>
      </c>
      <c r="F56" s="20" t="inlineStr">
        <is>
          <t>Supplier Dashboard</t>
        </is>
      </c>
      <c r="G56" s="27" t="inlineStr">
        <is>
          <t>Open</t>
        </is>
      </c>
      <c r="H56" s="20" t="inlineStr">
        <is>
          <t>27-Apr-2026</t>
        </is>
      </c>
      <c r="I56" s="20" t="inlineStr">
        <is>
          <t>1. Open supplier registration form
2. Enter numbers in Company Name
3. Enter email in Phone Number</t>
        </is>
      </c>
      <c r="J56" s="20" t="inlineStr">
        <is>
          <t>Form validates input types correctly</t>
        </is>
      </c>
      <c r="K56" s="20" t="inlineStr">
        <is>
          <t>Invalid inputs accepted without error</t>
        </is>
      </c>
      <c r="L56" s="20" t="inlineStr"/>
    </row>
    <row r="57" ht="55" customHeight="1">
      <c r="A57" s="23" t="inlineStr">
        <is>
          <t>BUG-056</t>
        </is>
      </c>
      <c r="B57" s="23" t="inlineStr">
        <is>
          <t>User Profile</t>
        </is>
      </c>
      <c r="C57" s="23" t="inlineStr">
        <is>
          <t>Customer photo feature not working</t>
        </is>
      </c>
      <c r="D57" s="23" t="inlineStr">
        <is>
          <t>UI</t>
        </is>
      </c>
      <c r="E57" s="24" t="inlineStr">
        <is>
          <t>MEDIUM</t>
        </is>
      </c>
      <c r="F57" s="23" t="inlineStr">
        <is>
          <t>Website</t>
        </is>
      </c>
      <c r="G57" s="28" t="inlineStr">
        <is>
          <t>Rejected</t>
        </is>
      </c>
      <c r="H57" s="23" t="inlineStr">
        <is>
          <t>27-Apr-2026</t>
        </is>
      </c>
      <c r="I57" s="23" t="inlineStr">
        <is>
          <t>1. Navigate to profile
2. Click 'Choose Photo'</t>
        </is>
      </c>
      <c r="J57" s="23" t="inlineStr">
        <is>
          <t>File picker opens for photo selection</t>
        </is>
      </c>
      <c r="K57" s="23" t="inlineStr">
        <is>
          <t>No response — file picker doesn't open</t>
        </is>
      </c>
      <c r="L57" s="23" t="inlineStr"/>
    </row>
    <row r="58" ht="55" customHeight="1">
      <c r="A58" s="20" t="inlineStr">
        <is>
          <t>BUG-057</t>
        </is>
      </c>
      <c r="B58" s="20" t="inlineStr">
        <is>
          <t>Security</t>
        </is>
      </c>
      <c r="C58" s="20" t="inlineStr">
        <is>
          <t>Mass account creation abuse possible</t>
        </is>
      </c>
      <c r="D58" s="20" t="inlineStr">
        <is>
          <t>SECURITY</t>
        </is>
      </c>
      <c r="E58" s="26" t="inlineStr">
        <is>
          <t>CRITICAL</t>
        </is>
      </c>
      <c r="F58" s="20" t="inlineStr">
        <is>
          <t>Website</t>
        </is>
      </c>
      <c r="G58" s="22" t="inlineStr">
        <is>
          <t>In Review</t>
        </is>
      </c>
      <c r="H58" s="20" t="inlineStr">
        <is>
          <t>27-Apr-2026</t>
        </is>
      </c>
      <c r="I58" s="20" t="inlineStr">
        <is>
          <t>1. Attempt to create large number of accounts rapidly</t>
        </is>
      </c>
      <c r="J58" s="20" t="inlineStr">
        <is>
          <t>Rate limiting or CAPTCHA prevents mass account creation</t>
        </is>
      </c>
      <c r="K58" s="20" t="inlineStr">
        <is>
          <t>Unlimited accounts created without restriction</t>
        </is>
      </c>
      <c r="L58" s="20" t="inlineStr">
        <is>
          <t>Enables fake account attacks</t>
        </is>
      </c>
    </row>
    <row r="59" ht="55" customHeight="1">
      <c r="A59" s="23" t="inlineStr">
        <is>
          <t>BUG-058</t>
        </is>
      </c>
      <c r="B59" s="23" t="inlineStr">
        <is>
          <t>Auth</t>
        </is>
      </c>
      <c r="C59" s="23" t="inlineStr">
        <is>
          <t>Password field accepts spaces</t>
        </is>
      </c>
      <c r="D59" s="23" t="inlineStr">
        <is>
          <t>UI</t>
        </is>
      </c>
      <c r="E59" s="21" t="inlineStr">
        <is>
          <t>HIGH</t>
        </is>
      </c>
      <c r="F59" s="23" t="inlineStr">
        <is>
          <t>Website</t>
        </is>
      </c>
      <c r="G59" s="28" t="inlineStr">
        <is>
          <t>Rejected</t>
        </is>
      </c>
      <c r="H59" s="23" t="inlineStr">
        <is>
          <t>27-Apr-2026</t>
        </is>
      </c>
      <c r="I59" s="23" t="inlineStr">
        <is>
          <t>1. Go to signup
2. Enter password with spaces</t>
        </is>
      </c>
      <c r="J59" s="23" t="inlineStr">
        <is>
          <t>Spaces rejected in password field</t>
        </is>
      </c>
      <c r="K59" s="23" t="inlineStr">
        <is>
          <t>Spaces accepted as valid input</t>
        </is>
      </c>
      <c r="L59" s="23" t="inlineStr">
        <is>
          <t>Missing validation</t>
        </is>
      </c>
    </row>
    <row r="60" ht="55" customHeight="1">
      <c r="A60" s="20" t="inlineStr">
        <is>
          <t>BUG-059</t>
        </is>
      </c>
      <c r="B60" s="20" t="inlineStr">
        <is>
          <t>Auth</t>
        </is>
      </c>
      <c r="C60" s="20" t="inlineStr">
        <is>
          <t>Account created after internet reconnect without confirmation</t>
        </is>
      </c>
      <c r="D60" s="20" t="inlineStr">
        <is>
          <t>FUNCTIONAL</t>
        </is>
      </c>
      <c r="E60" s="26" t="inlineStr">
        <is>
          <t>CRITICAL</t>
        </is>
      </c>
      <c r="F60" s="20" t="inlineStr">
        <is>
          <t>Website</t>
        </is>
      </c>
      <c r="G60" s="28" t="inlineStr">
        <is>
          <t>Rejected</t>
        </is>
      </c>
      <c r="H60" s="20" t="inlineStr">
        <is>
          <t>27-Apr-2026</t>
        </is>
      </c>
      <c r="I60" s="20" t="inlineStr">
        <is>
          <t>1. Start signup
2. Disconnect internet mid-process
3. Reconnect</t>
        </is>
      </c>
      <c r="J60" s="20" t="inlineStr">
        <is>
          <t>User must retry/confirm action after reconnecting</t>
        </is>
      </c>
      <c r="K60" s="20" t="inlineStr">
        <is>
          <t>Account created automatically without user action</t>
        </is>
      </c>
      <c r="L60" s="20" t="inlineStr">
        <is>
          <t>Unexpected behavior</t>
        </is>
      </c>
    </row>
    <row r="61" ht="55" customHeight="1">
      <c r="A61" s="23" t="inlineStr">
        <is>
          <t>BUG-060</t>
        </is>
      </c>
      <c r="B61" s="23" t="inlineStr">
        <is>
          <t>Auth</t>
        </is>
      </c>
      <c r="C61" s="23" t="inlineStr">
        <is>
          <t>Login with Facebook not working</t>
        </is>
      </c>
      <c r="D61" s="23" t="inlineStr">
        <is>
          <t>FUNCTIONAL</t>
        </is>
      </c>
      <c r="E61" s="26" t="inlineStr">
        <is>
          <t>CRITICAL</t>
        </is>
      </c>
      <c r="F61" s="23" t="inlineStr">
        <is>
          <t>Website</t>
        </is>
      </c>
      <c r="G61" s="28" t="inlineStr">
        <is>
          <t>Rejected</t>
        </is>
      </c>
      <c r="H61" s="23" t="inlineStr">
        <is>
          <t>27-Apr-2026</t>
        </is>
      </c>
      <c r="I61" s="23" t="inlineStr">
        <is>
          <t>1. Click 'Login with Facebook'</t>
        </is>
      </c>
      <c r="J61" s="23" t="inlineStr">
        <is>
          <t>Facebook OAuth flow initiated successfully</t>
        </is>
      </c>
      <c r="K61" s="23" t="inlineStr">
        <is>
          <t>Authentication fails — no access granted</t>
        </is>
      </c>
      <c r="L61" s="23" t="inlineStr"/>
    </row>
    <row r="62" ht="55" customHeight="1">
      <c r="A62" s="20" t="inlineStr">
        <is>
          <t>BUG-061</t>
        </is>
      </c>
      <c r="B62" s="20" t="inlineStr">
        <is>
          <t>Auth</t>
        </is>
      </c>
      <c r="C62" s="20" t="inlineStr">
        <is>
          <t>Login with Google not working</t>
        </is>
      </c>
      <c r="D62" s="20" t="inlineStr">
        <is>
          <t>FUNCTIONAL</t>
        </is>
      </c>
      <c r="E62" s="26" t="inlineStr">
        <is>
          <t>CRITICAL</t>
        </is>
      </c>
      <c r="F62" s="20" t="inlineStr">
        <is>
          <t>Website</t>
        </is>
      </c>
      <c r="G62" s="22" t="inlineStr">
        <is>
          <t>In Review</t>
        </is>
      </c>
      <c r="H62" s="20" t="inlineStr">
        <is>
          <t>27-Apr-2026</t>
        </is>
      </c>
      <c r="I62" s="20" t="inlineStr">
        <is>
          <t>1. Click 'Login with Google'</t>
        </is>
      </c>
      <c r="J62" s="20" t="inlineStr">
        <is>
          <t>Google OAuth flow initiated successfully</t>
        </is>
      </c>
      <c r="K62" s="20" t="inlineStr">
        <is>
          <t>Authentication fails — no access granted</t>
        </is>
      </c>
      <c r="L62" s="20" t="inlineStr"/>
    </row>
    <row r="63" ht="55" customHeight="1">
      <c r="A63" s="23" t="inlineStr">
        <is>
          <t>BUG-062</t>
        </is>
      </c>
      <c r="B63" s="23" t="inlineStr">
        <is>
          <t>Security</t>
        </is>
      </c>
      <c r="C63" s="23" t="inlineStr">
        <is>
          <t>Signup accepts duplicate phone numbers</t>
        </is>
      </c>
      <c r="D63" s="23" t="inlineStr">
        <is>
          <t>SECURITY</t>
        </is>
      </c>
      <c r="E63" s="21" t="inlineStr">
        <is>
          <t>HIGH</t>
        </is>
      </c>
      <c r="F63" s="23" t="inlineStr">
        <is>
          <t>Website</t>
        </is>
      </c>
      <c r="G63" s="28" t="inlineStr">
        <is>
          <t>Rejected</t>
        </is>
      </c>
      <c r="H63" s="23" t="inlineStr">
        <is>
          <t>27-Apr-2026</t>
        </is>
      </c>
      <c r="I63" s="23" t="inlineStr">
        <is>
          <t>1. Register account with phone number
2. Register another account with same number</t>
        </is>
      </c>
      <c r="J63" s="23" t="inlineStr">
        <is>
          <t>Error: 'Phone number already registered'</t>
        </is>
      </c>
      <c r="K63" s="23" t="inlineStr">
        <is>
          <t>Duplicate phone accepted without error</t>
        </is>
      </c>
      <c r="L63" s="23" t="inlineStr">
        <is>
          <t>Missing uniqueness validation</t>
        </is>
      </c>
    </row>
    <row r="64" ht="55" customHeight="1">
      <c r="A64" s="20" t="inlineStr">
        <is>
          <t>BUG-063</t>
        </is>
      </c>
      <c r="B64" s="20" t="inlineStr">
        <is>
          <t>Security</t>
        </is>
      </c>
      <c r="C64" s="20" t="inlineStr">
        <is>
          <t>Checkout page repeats after internet reconnect</t>
        </is>
      </c>
      <c r="D64" s="20" t="inlineStr">
        <is>
          <t>SECURITY</t>
        </is>
      </c>
      <c r="E64" s="26" t="inlineStr">
        <is>
          <t>CRITICAL</t>
        </is>
      </c>
      <c r="F64" s="20" t="inlineStr">
        <is>
          <t>Website</t>
        </is>
      </c>
      <c r="G64" s="28" t="inlineStr">
        <is>
          <t>Rejected</t>
        </is>
      </c>
      <c r="H64" s="20" t="inlineStr">
        <is>
          <t>27-Apr-2026</t>
        </is>
      </c>
      <c r="I64" s="20" t="inlineStr">
        <is>
          <t>1. Start ticket checkout
2. Disconnect internet
3. Reconnect</t>
        </is>
      </c>
      <c r="J64" s="20" t="inlineStr">
        <is>
          <t>Checkout resumes once from saved state</t>
        </is>
      </c>
      <c r="K64" s="20" t="inlineStr">
        <is>
          <t>Checkout page displayed multiple times</t>
        </is>
      </c>
      <c r="L64" s="20" t="inlineStr">
        <is>
          <t>Could cause duplicate charges</t>
        </is>
      </c>
    </row>
    <row r="65" ht="55" customHeight="1">
      <c r="A65" s="23" t="inlineStr">
        <is>
          <t>BUG-064</t>
        </is>
      </c>
      <c r="B65" s="23" t="inlineStr">
        <is>
          <t>Performance</t>
        </is>
      </c>
      <c r="C65" s="23" t="inlineStr">
        <is>
          <t>System freezes on internet disconnect</t>
        </is>
      </c>
      <c r="D65" s="23" t="inlineStr">
        <is>
          <t>PERFORMANCE</t>
        </is>
      </c>
      <c r="E65" s="26" t="inlineStr">
        <is>
          <t>CRITICAL</t>
        </is>
      </c>
      <c r="F65" s="23" t="inlineStr">
        <is>
          <t>Website</t>
        </is>
      </c>
      <c r="G65" s="22" t="inlineStr">
        <is>
          <t>In Review</t>
        </is>
      </c>
      <c r="H65" s="23" t="inlineStr">
        <is>
          <t>27-Apr-2026</t>
        </is>
      </c>
      <c r="I65" s="23" t="inlineStr">
        <is>
          <t>1. Start any action (login/booking)
2. Disconnect internet</t>
        </is>
      </c>
      <c r="J65" s="23" t="inlineStr">
        <is>
          <t>Clear error message shown — system remains responsive</t>
        </is>
      </c>
      <c r="K65" s="23" t="inlineStr">
        <is>
          <t>System freezes with no error message</t>
        </is>
      </c>
      <c r="L65" s="23" t="inlineStr"/>
    </row>
    <row r="66" ht="55" customHeight="1">
      <c r="A66" s="20" t="inlineStr">
        <is>
          <t>BUG-065</t>
        </is>
      </c>
      <c r="B66" s="20" t="inlineStr">
        <is>
          <t>Auth</t>
        </is>
      </c>
      <c r="C66" s="20" t="inlineStr">
        <is>
          <t>Duplicate email shows generic error message</t>
        </is>
      </c>
      <c r="D66" s="20" t="inlineStr">
        <is>
          <t>UI</t>
        </is>
      </c>
      <c r="E66" s="21" t="inlineStr">
        <is>
          <t>HIGH</t>
        </is>
      </c>
      <c r="F66" s="20" t="inlineStr">
        <is>
          <t>Website</t>
        </is>
      </c>
      <c r="G66" s="22" t="inlineStr">
        <is>
          <t>In Review</t>
        </is>
      </c>
      <c r="H66" s="20" t="inlineStr">
        <is>
          <t>27-Apr-2026</t>
        </is>
      </c>
      <c r="I66" s="20" t="inlineStr">
        <is>
          <t>1. Signup with already registered email</t>
        </is>
      </c>
      <c r="J66" s="20" t="inlineStr">
        <is>
          <t>Error: 'This email is already registered'</t>
        </is>
      </c>
      <c r="K66" s="20" t="inlineStr">
        <is>
          <t>Generic error: 'Something went wrong during signup'</t>
        </is>
      </c>
      <c r="L66" s="20" t="inlineStr">
        <is>
          <t>Unhelpful UX</t>
        </is>
      </c>
    </row>
    <row r="67" ht="55" customHeight="1">
      <c r="A67" s="23" t="inlineStr">
        <is>
          <t>BUG-066</t>
        </is>
      </c>
      <c r="B67" s="23" t="inlineStr">
        <is>
          <t>Security</t>
        </is>
      </c>
      <c r="C67" s="23" t="inlineStr">
        <is>
          <t>Signup accepts temporary/disposable email addresses</t>
        </is>
      </c>
      <c r="D67" s="23" t="inlineStr">
        <is>
          <t>SECURITY</t>
        </is>
      </c>
      <c r="E67" s="26" t="inlineStr">
        <is>
          <t>CRITICAL</t>
        </is>
      </c>
      <c r="F67" s="23" t="inlineStr">
        <is>
          <t>Website</t>
        </is>
      </c>
      <c r="G67" s="25" t="inlineStr">
        <is>
          <t>Resolved</t>
        </is>
      </c>
      <c r="H67" s="23" t="inlineStr">
        <is>
          <t>27-Apr-2026</t>
        </is>
      </c>
      <c r="I67" s="23" t="inlineStr">
        <is>
          <t>1. Signup using mailinator.com or tempmail.com address</t>
        </is>
      </c>
      <c r="J67" s="23" t="inlineStr">
        <is>
          <t>Disposable emails rejected</t>
        </is>
      </c>
      <c r="K67" s="23" t="inlineStr">
        <is>
          <t>Temp emails accepted — no verification</t>
        </is>
      </c>
      <c r="L67" s="23" t="inlineStr">
        <is>
          <t>Enables fake account creation</t>
        </is>
      </c>
    </row>
    <row r="68" ht="55" customHeight="1">
      <c r="A68" s="20" t="inlineStr">
        <is>
          <t>BUG-067</t>
        </is>
      </c>
      <c r="B68" s="20" t="inlineStr">
        <is>
          <t>Security</t>
        </is>
      </c>
      <c r="C68" s="20" t="inlineStr">
        <is>
          <t>Login fields retain credentials after login</t>
        </is>
      </c>
      <c r="D68" s="20" t="inlineStr">
        <is>
          <t>SECURITY</t>
        </is>
      </c>
      <c r="E68" s="26" t="inlineStr">
        <is>
          <t>CRITICAL</t>
        </is>
      </c>
      <c r="F68" s="20" t="inlineStr">
        <is>
          <t>Website</t>
        </is>
      </c>
      <c r="G68" s="25" t="inlineStr">
        <is>
          <t>Resolved</t>
        </is>
      </c>
      <c r="H68" s="20" t="inlineStr">
        <is>
          <t>27-Apr-2026</t>
        </is>
      </c>
      <c r="I68" s="20" t="inlineStr">
        <is>
          <t>1. Login successfully
2. Navigate back to login page</t>
        </is>
      </c>
      <c r="J68" s="20" t="inlineStr">
        <is>
          <t>Login fields cleared after successful login</t>
        </is>
      </c>
      <c r="K68" s="20" t="inlineStr">
        <is>
          <t>Email and password still visible in fields</t>
        </is>
      </c>
      <c r="L68" s="20" t="inlineStr">
        <is>
          <t>Exposes credentials on shared devices</t>
        </is>
      </c>
    </row>
    <row r="69" ht="55" customHeight="1">
      <c r="A69" s="23" t="inlineStr">
        <is>
          <t>BUG-068</t>
        </is>
      </c>
      <c r="B69" s="23" t="inlineStr">
        <is>
          <t>Auth</t>
        </is>
      </c>
      <c r="C69" s="23" t="inlineStr">
        <is>
          <t>Missing loading indicator during login</t>
        </is>
      </c>
      <c r="D69" s="23" t="inlineStr">
        <is>
          <t>FUNCTIONAL</t>
        </is>
      </c>
      <c r="E69" s="21" t="inlineStr">
        <is>
          <t>HIGH</t>
        </is>
      </c>
      <c r="F69" s="23" t="inlineStr">
        <is>
          <t>Website</t>
        </is>
      </c>
      <c r="G69" s="27" t="inlineStr">
        <is>
          <t>Open</t>
        </is>
      </c>
      <c r="H69" s="23" t="inlineStr">
        <is>
          <t>27-Apr-2026</t>
        </is>
      </c>
      <c r="I69" s="23" t="inlineStr">
        <is>
          <t>1. Enter credentials
2. Click Login
3. Observe response</t>
        </is>
      </c>
      <c r="J69" s="23" t="inlineStr">
        <is>
          <t>Loading spinner shown during authentication</t>
        </is>
      </c>
      <c r="K69" s="23" t="inlineStr">
        <is>
          <t>No indicator. Page appears static until redirect</t>
        </is>
      </c>
      <c r="L69" s="23" t="inlineStr"/>
    </row>
    <row r="70" ht="55" customHeight="1">
      <c r="A70" s="20" t="inlineStr">
        <is>
          <t>BUG-069</t>
        </is>
      </c>
      <c r="B70" s="20" t="inlineStr">
        <is>
          <t>Auth</t>
        </is>
      </c>
      <c r="C70" s="20" t="inlineStr">
        <is>
          <t>Password conditions don't disappear after valid input</t>
        </is>
      </c>
      <c r="D70" s="20" t="inlineStr">
        <is>
          <t>FUNCTIONAL</t>
        </is>
      </c>
      <c r="E70" s="21" t="inlineStr">
        <is>
          <t>HIGH</t>
        </is>
      </c>
      <c r="F70" s="20" t="inlineStr">
        <is>
          <t>Website</t>
        </is>
      </c>
      <c r="G70" s="22" t="inlineStr">
        <is>
          <t>In Review</t>
        </is>
      </c>
      <c r="H70" s="20" t="inlineStr">
        <is>
          <t>27-Apr-2026</t>
        </is>
      </c>
      <c r="I70" s="20" t="inlineStr">
        <is>
          <t>1. Go to signup
2. Enter a fully valid password meeting all conditions</t>
        </is>
      </c>
      <c r="J70" s="20" t="inlineStr">
        <is>
          <t>Password condition hints disappear after conditions met</t>
        </is>
      </c>
      <c r="K70" s="20" t="inlineStr">
        <is>
          <t>Conditions remain visible until submit button clicked</t>
        </is>
      </c>
      <c r="L70" s="20" t="inlineStr"/>
    </row>
    <row r="71" ht="55" customHeight="1">
      <c r="A71" s="23" t="inlineStr">
        <is>
          <t>BUG-070</t>
        </is>
      </c>
      <c r="B71" s="23" t="inlineStr">
        <is>
          <t>Auth</t>
        </is>
      </c>
      <c r="C71" s="23" t="inlineStr">
        <is>
          <t>Username field accepts unlimited characters</t>
        </is>
      </c>
      <c r="D71" s="23" t="inlineStr">
        <is>
          <t>UI</t>
        </is>
      </c>
      <c r="E71" s="21" t="inlineStr">
        <is>
          <t>HIGH</t>
        </is>
      </c>
      <c r="F71" s="23" t="inlineStr">
        <is>
          <t>Website</t>
        </is>
      </c>
      <c r="G71" s="27" t="inlineStr">
        <is>
          <t>Open</t>
        </is>
      </c>
      <c r="H71" s="23" t="inlineStr">
        <is>
          <t>27-Apr-2026</t>
        </is>
      </c>
      <c r="I71" s="23" t="inlineStr">
        <is>
          <t>1. Go to signup
2. Enter very long username (500+ chars)</t>
        </is>
      </c>
      <c r="J71" s="23" t="inlineStr">
        <is>
          <t>Character limit enforced (e.g. max 50 chars)</t>
        </is>
      </c>
      <c r="K71" s="23" t="inlineStr">
        <is>
          <t>Unlimited input accepted</t>
        </is>
      </c>
      <c r="L71" s="23" t="inlineStr">
        <is>
          <t>Missing length validation</t>
        </is>
      </c>
    </row>
    <row r="72" ht="55" customHeight="1">
      <c r="A72" s="20" t="inlineStr">
        <is>
          <t>BUG-071</t>
        </is>
      </c>
      <c r="B72" s="20" t="inlineStr">
        <is>
          <t>Auth</t>
        </is>
      </c>
      <c r="C72" s="20" t="inlineStr">
        <is>
          <t>Phone number field accepts email address during signup</t>
        </is>
      </c>
      <c r="D72" s="20" t="inlineStr">
        <is>
          <t>FUNCTIONAL</t>
        </is>
      </c>
      <c r="E72" s="21" t="inlineStr">
        <is>
          <t>HIGH</t>
        </is>
      </c>
      <c r="F72" s="20" t="inlineStr">
        <is>
          <t>Website</t>
        </is>
      </c>
      <c r="G72" s="27" t="inlineStr">
        <is>
          <t>Open</t>
        </is>
      </c>
      <c r="H72" s="20" t="inlineStr">
        <is>
          <t>27-Apr-2026</t>
        </is>
      </c>
      <c r="I72" s="20" t="inlineStr">
        <is>
          <t>1. Go to signup
2. Enter email address in phone number field</t>
        </is>
      </c>
      <c r="J72" s="20" t="inlineStr">
        <is>
          <t>Validation rejects non-numeric/invalid phone format</t>
        </is>
      </c>
      <c r="K72" s="20" t="inlineStr">
        <is>
          <t>Email accepted as valid phone number</t>
        </is>
      </c>
      <c r="L72" s="20" t="inlineStr"/>
    </row>
    <row r="73" ht="55" customHeight="1">
      <c r="A73" s="23" t="inlineStr">
        <is>
          <t>BUG-072</t>
        </is>
      </c>
      <c r="B73" s="23" t="inlineStr">
        <is>
          <t>Auth</t>
        </is>
      </c>
      <c r="C73" s="23" t="inlineStr">
        <is>
          <t>Signup allows blank first and last name</t>
        </is>
      </c>
      <c r="D73" s="23" t="inlineStr">
        <is>
          <t>UI</t>
        </is>
      </c>
      <c r="E73" s="21" t="inlineStr">
        <is>
          <t>HIGH</t>
        </is>
      </c>
      <c r="F73" s="23" t="inlineStr">
        <is>
          <t>Website</t>
        </is>
      </c>
      <c r="G73" s="25" t="inlineStr">
        <is>
          <t>Resolved</t>
        </is>
      </c>
      <c r="H73" s="23" t="inlineStr">
        <is>
          <t>27-Apr-2026</t>
        </is>
      </c>
      <c r="I73" s="23" t="inlineStr">
        <is>
          <t>1. Go to signup
2. Leave first/last name empty
3. Submit</t>
        </is>
      </c>
      <c r="J73" s="23" t="inlineStr">
        <is>
          <t>Validation error: 'Name is required'</t>
        </is>
      </c>
      <c r="K73" s="23" t="inlineStr">
        <is>
          <t>Form submits with empty names</t>
        </is>
      </c>
      <c r="L73" s="23" t="inlineStr"/>
    </row>
    <row r="74" ht="55" customHeight="1">
      <c r="A74" s="20" t="inlineStr">
        <is>
          <t>BUG-073</t>
        </is>
      </c>
      <c r="B74" s="20" t="inlineStr">
        <is>
          <t>Security</t>
        </is>
      </c>
      <c r="C74" s="20" t="inlineStr">
        <is>
          <t>Email address accepted as password during signup</t>
        </is>
      </c>
      <c r="D74" s="20" t="inlineStr">
        <is>
          <t>SECURITY</t>
        </is>
      </c>
      <c r="E74" s="26" t="inlineStr">
        <is>
          <t>CRITICAL</t>
        </is>
      </c>
      <c r="F74" s="20" t="inlineStr">
        <is>
          <t>Website</t>
        </is>
      </c>
      <c r="G74" s="27" t="inlineStr">
        <is>
          <t>Open</t>
        </is>
      </c>
      <c r="H74" s="20" t="inlineStr">
        <is>
          <t>27-Apr-2026</t>
        </is>
      </c>
      <c r="I74" s="20" t="inlineStr">
        <is>
          <t>1. Go to signup
2. Enter email address as password</t>
        </is>
      </c>
      <c r="J74" s="20" t="inlineStr">
        <is>
          <t>Password policy rejects email-formatted passwords</t>
        </is>
      </c>
      <c r="K74" s="20" t="inlineStr">
        <is>
          <t>Email accepted as password</t>
        </is>
      </c>
      <c r="L74" s="20" t="inlineStr">
        <is>
          <t>Violates basic security standards</t>
        </is>
      </c>
    </row>
    <row r="75" ht="55" customHeight="1">
      <c r="A75" s="23" t="inlineStr">
        <is>
          <t>BUG-074</t>
        </is>
      </c>
      <c r="B75" s="23" t="inlineStr">
        <is>
          <t>Security</t>
        </is>
      </c>
      <c r="C75" s="23" t="inlineStr">
        <is>
          <t>Blocked user still able to book tickets</t>
        </is>
      </c>
      <c r="D75" s="23" t="inlineStr">
        <is>
          <t>FUNCTIONAL</t>
        </is>
      </c>
      <c r="E75" s="26" t="inlineStr">
        <is>
          <t>CRITICAL</t>
        </is>
      </c>
      <c r="F75" s="23" t="inlineStr">
        <is>
          <t>Admin Dashboard</t>
        </is>
      </c>
      <c r="G75" s="22" t="inlineStr">
        <is>
          <t>In Review</t>
        </is>
      </c>
      <c r="H75" s="23" t="inlineStr">
        <is>
          <t>27-Apr-2026</t>
        </is>
      </c>
      <c r="I75" s="23" t="inlineStr">
        <is>
          <t>1. Admin blocks a user account
2. Blocked user logs in
3. Attempts to book ticket</t>
        </is>
      </c>
      <c r="J75" s="23" t="inlineStr">
        <is>
          <t>Blocked user cannot login or book</t>
        </is>
      </c>
      <c r="K75" s="23" t="inlineStr">
        <is>
          <t>Blocked user successfully books tickets</t>
        </is>
      </c>
      <c r="L75" s="23" t="inlineStr">
        <is>
          <t>Block not enforced across systems</t>
        </is>
      </c>
    </row>
    <row r="76" ht="55" customHeight="1">
      <c r="A76" s="20" t="inlineStr">
        <is>
          <t>BUG-075</t>
        </is>
      </c>
      <c r="B76" s="20" t="inlineStr">
        <is>
          <t>Admin Dashboard</t>
        </is>
      </c>
      <c r="C76" s="20" t="inlineStr">
        <is>
          <t>Activity capacity accepts negative numbers</t>
        </is>
      </c>
      <c r="D76" s="20" t="inlineStr">
        <is>
          <t>FUNCTIONAL</t>
        </is>
      </c>
      <c r="E76" s="21" t="inlineStr">
        <is>
          <t>HIGH</t>
        </is>
      </c>
      <c r="F76" s="20" t="inlineStr">
        <is>
          <t>Admin Dashboard</t>
        </is>
      </c>
      <c r="G76" s="22" t="inlineStr">
        <is>
          <t>In Review</t>
        </is>
      </c>
      <c r="H76" s="20" t="inlineStr">
        <is>
          <t>27-Apr-2026</t>
        </is>
      </c>
      <c r="I76" s="20" t="inlineStr">
        <is>
          <t>1. Login as Admin
2. Create/edit activity
3. Enter negative value (e.g. -3) in capacity</t>
        </is>
      </c>
      <c r="J76" s="20" t="inlineStr">
        <is>
          <t>Validation rejects negative capacity values</t>
        </is>
      </c>
      <c r="K76" s="20" t="inlineStr">
        <is>
          <t>Negative numbers accepted without error</t>
        </is>
      </c>
      <c r="L76" s="20" t="inlineStr"/>
    </row>
    <row r="77" ht="55" customHeight="1">
      <c r="A77" s="23" t="inlineStr">
        <is>
          <t>BUG-076</t>
        </is>
      </c>
      <c r="B77" s="23" t="inlineStr">
        <is>
          <t>Admin Dashboard</t>
        </is>
      </c>
      <c r="C77" s="23" t="inlineStr">
        <is>
          <t>Activity time displays with +3 hour offset</t>
        </is>
      </c>
      <c r="D77" s="23" t="inlineStr">
        <is>
          <t>FUNCTIONAL</t>
        </is>
      </c>
      <c r="E77" s="21" t="inlineStr">
        <is>
          <t>HIGH</t>
        </is>
      </c>
      <c r="F77" s="23" t="inlineStr">
        <is>
          <t>Admin Dashboard</t>
        </is>
      </c>
      <c r="G77" s="27" t="inlineStr">
        <is>
          <t>Open</t>
        </is>
      </c>
      <c r="H77" s="23" t="inlineStr">
        <is>
          <t>27-Apr-2026</t>
        </is>
      </c>
      <c r="I77" s="23" t="inlineStr">
        <is>
          <t>1. Login as Admin
2. Create activity at 10:00
3. View created activity</t>
        </is>
      </c>
      <c r="J77" s="23" t="inlineStr">
        <is>
          <t>Activity displays at 10:00 as entered</t>
        </is>
      </c>
      <c r="K77" s="23" t="inlineStr">
        <is>
          <t>Activity shows 13:00 — 3 hour offset</t>
        </is>
      </c>
      <c r="L77" s="23" t="inlineStr">
        <is>
          <t>Timezone mismatch between input and display</t>
        </is>
      </c>
    </row>
    <row r="78" ht="55" customHeight="1">
      <c r="A78" s="20" t="inlineStr">
        <is>
          <t>BUG-077</t>
        </is>
      </c>
      <c r="B78" s="20" t="inlineStr">
        <is>
          <t>Admin Dashboard</t>
        </is>
      </c>
      <c r="C78" s="20" t="inlineStr">
        <is>
          <t>Activity price change triggers media validation error</t>
        </is>
      </c>
      <c r="D78" s="20" t="inlineStr">
        <is>
          <t>FUNCTIONAL</t>
        </is>
      </c>
      <c r="E78" s="21" t="inlineStr">
        <is>
          <t>HIGH</t>
        </is>
      </c>
      <c r="F78" s="20" t="inlineStr">
        <is>
          <t>Admin Dashboard</t>
        </is>
      </c>
      <c r="G78" s="27" t="inlineStr">
        <is>
          <t>Open</t>
        </is>
      </c>
      <c r="H78" s="20" t="inlineStr">
        <is>
          <t>27-Apr-2026</t>
        </is>
      </c>
      <c r="I78" s="20" t="inlineStr">
        <is>
          <t>1. Login as Admin
2. Edit an activity
3. Change the price
4. Save</t>
        </is>
      </c>
      <c r="J78" s="20" t="inlineStr">
        <is>
          <t>Price updated successfully</t>
        </is>
      </c>
      <c r="K78" s="20" t="inlineStr">
        <is>
          <t>Error: 'media: Invalid input' — requires phone field workaround</t>
        </is>
      </c>
      <c r="L78" s="20" t="inlineStr">
        <is>
          <t>Unrelated field blocks price edit</t>
        </is>
      </c>
    </row>
    <row r="79" ht="55" customHeight="1">
      <c r="A79" s="23" t="inlineStr">
        <is>
          <t>BUG-078</t>
        </is>
      </c>
      <c r="B79" s="23" t="inlineStr">
        <is>
          <t>UI</t>
        </is>
      </c>
      <c r="C79" s="23" t="inlineStr">
        <is>
          <t>Placeholder text cut off in search bar</t>
        </is>
      </c>
      <c r="D79" s="23" t="inlineStr">
        <is>
          <t>UI</t>
        </is>
      </c>
      <c r="E79" s="29" t="inlineStr">
        <is>
          <t>LOW</t>
        </is>
      </c>
      <c r="F79" s="23" t="inlineStr">
        <is>
          <t>Website</t>
        </is>
      </c>
      <c r="G79" s="27" t="inlineStr">
        <is>
          <t>Open</t>
        </is>
      </c>
      <c r="H79" s="23" t="inlineStr">
        <is>
          <t>27-Apr-2026</t>
        </is>
      </c>
      <c r="I79" s="23" t="inlineStr">
        <is>
          <t>1. View search bar placeholder text under 'WHERE TO?'</t>
        </is>
      </c>
      <c r="J79" s="23" t="inlineStr">
        <is>
          <t>'City, attraction, activity' shown in full</t>
        </is>
      </c>
      <c r="K79" s="23" t="inlineStr">
        <is>
          <t>Text truncated to 'City, attraction, acti'</t>
        </is>
      </c>
      <c r="L79" s="23" t="inlineStr"/>
    </row>
    <row r="80" ht="55" customHeight="1">
      <c r="A80" s="20" t="inlineStr">
        <is>
          <t>BUG-079</t>
        </is>
      </c>
      <c r="B80" s="20" t="inlineStr">
        <is>
          <t>Cart</t>
        </is>
      </c>
      <c r="C80" s="20" t="inlineStr">
        <is>
          <t>Cart retains tickets after logout in another tab</t>
        </is>
      </c>
      <c r="D80" s="20" t="inlineStr">
        <is>
          <t>UI</t>
        </is>
      </c>
      <c r="E80" s="21" t="inlineStr">
        <is>
          <t>HIGH</t>
        </is>
      </c>
      <c r="F80" s="20" t="inlineStr">
        <is>
          <t>Website</t>
        </is>
      </c>
      <c r="G80" s="27" t="inlineStr">
        <is>
          <t>Open</t>
        </is>
      </c>
      <c r="H80" s="20" t="inlineStr">
        <is>
          <t>27-Apr-2026</t>
        </is>
      </c>
      <c r="I80" s="20" t="inlineStr">
        <is>
          <t>1. Open two browser tabs
2. Logout from tab 1
3. Check tab 2 cart</t>
        </is>
      </c>
      <c r="J80" s="20" t="inlineStr">
        <is>
          <t>Cart cleared on logout across all tabs</t>
        </is>
      </c>
      <c r="K80" s="20" t="inlineStr">
        <is>
          <t>Tab 2 still shows previously added tickets after logout</t>
        </is>
      </c>
      <c r="L80" s="20" t="inlineStr">
        <is>
          <t>Session not synchronized across tabs</t>
        </is>
      </c>
    </row>
    <row r="81" ht="55" customHeight="1">
      <c r="A81" s="23" t="inlineStr">
        <is>
          <t>BUG-080</t>
        </is>
      </c>
      <c r="B81" s="23" t="inlineStr">
        <is>
          <t>Cart</t>
        </is>
      </c>
      <c r="C81" s="23" t="inlineStr">
        <is>
          <t>Checkout session lost after language change</t>
        </is>
      </c>
      <c r="D81" s="23" t="inlineStr">
        <is>
          <t>UI</t>
        </is>
      </c>
      <c r="E81" s="21" t="inlineStr">
        <is>
          <t>HIGH</t>
        </is>
      </c>
      <c r="F81" s="23" t="inlineStr">
        <is>
          <t>Website</t>
        </is>
      </c>
      <c r="G81" s="27" t="inlineStr">
        <is>
          <t>Open</t>
        </is>
      </c>
      <c r="H81" s="23" t="inlineStr">
        <is>
          <t>27-Apr-2026</t>
        </is>
      </c>
      <c r="I81" s="23" t="inlineStr">
        <is>
          <t>1. Start checkout process
2. Change website language</t>
        </is>
      </c>
      <c r="J81" s="23" t="inlineStr">
        <is>
          <t>Checkout session preserved across language change</t>
        </is>
      </c>
      <c r="K81" s="23" t="inlineStr">
        <is>
          <t>Error: 'No Checkout Session' — user must restart booking</t>
        </is>
      </c>
      <c r="L81" s="23" t="inlineStr"/>
    </row>
    <row r="82" ht="55" customHeight="1">
      <c r="A82" s="20" t="inlineStr">
        <is>
          <t>BUG-081</t>
        </is>
      </c>
      <c r="B82" s="20" t="inlineStr">
        <is>
          <t>Auth</t>
        </is>
      </c>
      <c r="C82" s="20" t="inlineStr">
        <is>
          <t>Name field accepts mixed Arabic and English characters</t>
        </is>
      </c>
      <c r="D82" s="20" t="inlineStr">
        <is>
          <t>FUNCTIONAL</t>
        </is>
      </c>
      <c r="E82" s="21" t="inlineStr">
        <is>
          <t>HIGH</t>
        </is>
      </c>
      <c r="F82" s="20" t="inlineStr">
        <is>
          <t>Website</t>
        </is>
      </c>
      <c r="G82" s="27" t="inlineStr">
        <is>
          <t>Open</t>
        </is>
      </c>
      <c r="H82" s="20" t="inlineStr">
        <is>
          <t>27-Apr-2026</t>
        </is>
      </c>
      <c r="I82" s="20" t="inlineStr">
        <is>
          <t>1. Go to signup
2. Enter name with both Arabic and English characters</t>
        </is>
      </c>
      <c r="J82" s="20" t="inlineStr">
        <is>
          <t>Validation enforces consistent single language input</t>
        </is>
      </c>
      <c r="K82" s="20" t="inlineStr">
        <is>
          <t>Mixed language input accepted</t>
        </is>
      </c>
      <c r="L82" s="20" t="inlineStr"/>
    </row>
    <row r="83" ht="55" customHeight="1">
      <c r="A83" s="23" t="inlineStr">
        <is>
          <t>BUG-082</t>
        </is>
      </c>
      <c r="B83" s="23" t="inlineStr">
        <is>
          <t>Auth</t>
        </is>
      </c>
      <c r="C83" s="23" t="inlineStr">
        <is>
          <t>Name field accepts numeric input</t>
        </is>
      </c>
      <c r="D83" s="23" t="inlineStr">
        <is>
          <t>FUNCTIONAL</t>
        </is>
      </c>
      <c r="E83" s="21" t="inlineStr">
        <is>
          <t>HIGH</t>
        </is>
      </c>
      <c r="F83" s="23" t="inlineStr">
        <is>
          <t>Website</t>
        </is>
      </c>
      <c r="G83" s="27" t="inlineStr">
        <is>
          <t>Open</t>
        </is>
      </c>
      <c r="H83" s="23" t="inlineStr">
        <is>
          <t>27-Apr-2026</t>
        </is>
      </c>
      <c r="I83" s="23" t="inlineStr">
        <is>
          <t>1. Go to signup
2. Enter numbers in first/last name (e.g. '12', '45')</t>
        </is>
      </c>
      <c r="J83" s="23" t="inlineStr">
        <is>
          <t>Validation rejects numeric names</t>
        </is>
      </c>
      <c r="K83" s="23" t="inlineStr">
        <is>
          <t>Numbers accepted as valid name input</t>
        </is>
      </c>
      <c r="L83" s="23" t="inlineStr"/>
    </row>
    <row r="84" ht="55" customHeight="1">
      <c r="A84" s="20" t="inlineStr">
        <is>
          <t>BUG-083</t>
        </is>
      </c>
      <c r="B84" s="20" t="inlineStr">
        <is>
          <t>Auth</t>
        </is>
      </c>
      <c r="C84" s="20" t="inlineStr">
        <is>
          <t>Checkout error redirects to browser page instead of site home</t>
        </is>
      </c>
      <c r="D84" s="20" t="inlineStr">
        <is>
          <t>SECURITY</t>
        </is>
      </c>
      <c r="E84" s="24" t="inlineStr">
        <is>
          <t>MEDIUM</t>
        </is>
      </c>
      <c r="F84" s="20" t="inlineStr">
        <is>
          <t>Website</t>
        </is>
      </c>
      <c r="G84" s="27" t="inlineStr">
        <is>
          <t>Open</t>
        </is>
      </c>
      <c r="H84" s="20" t="inlineStr">
        <is>
          <t>27-Apr-2026</t>
        </is>
      </c>
      <c r="I84" s="20" t="inlineStr">
        <is>
          <t>1. Logout
2. Try to access checkout page
3. Click 'Go Back' on error message</t>
        </is>
      </c>
      <c r="J84" s="20" t="inlineStr">
        <is>
          <t>User redirected to Tourzina homepage</t>
        </is>
      </c>
      <c r="K84" s="20" t="inlineStr">
        <is>
          <t>User redirected to Chrome start page — outside the website</t>
        </is>
      </c>
      <c r="L84" s="20" t="inlineStr">
        <is>
          <t>Breaks navigation flow</t>
        </is>
      </c>
    </row>
    <row r="85" ht="55" customHeight="1">
      <c r="A85" s="23" t="inlineStr">
        <is>
          <t>BUG-084</t>
        </is>
      </c>
      <c r="B85" s="23" t="inlineStr">
        <is>
          <t>Cart</t>
        </is>
      </c>
      <c r="C85" s="23" t="inlineStr">
        <is>
          <t>Checkout progress lost after page refresh</t>
        </is>
      </c>
      <c r="D85" s="23" t="inlineStr">
        <is>
          <t>UI</t>
        </is>
      </c>
      <c r="E85" s="21" t="inlineStr">
        <is>
          <t>HIGH</t>
        </is>
      </c>
      <c r="F85" s="23" t="inlineStr">
        <is>
          <t>Website</t>
        </is>
      </c>
      <c r="G85" s="27" t="inlineStr">
        <is>
          <t>Open</t>
        </is>
      </c>
      <c r="H85" s="23" t="inlineStr">
        <is>
          <t>27-Apr-2026</t>
        </is>
      </c>
      <c r="I85" s="23" t="inlineStr">
        <is>
          <t>1. Start checkout — fill contact info
2. Proceed to step 2 (payment)
3. Refresh page</t>
        </is>
      </c>
      <c r="J85" s="23" t="inlineStr">
        <is>
          <t>Progress preserved or user prompted to confirm refresh</t>
        </is>
      </c>
      <c r="K85" s="23" t="inlineStr">
        <is>
          <t>Returned to step 1 — all data lost</t>
        </is>
      </c>
      <c r="L85" s="23" t="inlineStr"/>
    </row>
    <row r="86" ht="55" customHeight="1">
      <c r="A86" s="20" t="inlineStr">
        <is>
          <t>BUG-085</t>
        </is>
      </c>
      <c r="B86" s="20" t="inlineStr">
        <is>
          <t>Security</t>
        </is>
      </c>
      <c r="C86" s="20" t="inlineStr">
        <is>
          <t>Cart persists after clearing browser cookies</t>
        </is>
      </c>
      <c r="D86" s="20" t="inlineStr">
        <is>
          <t>SECURITY</t>
        </is>
      </c>
      <c r="E86" s="21" t="inlineStr">
        <is>
          <t>HIGH</t>
        </is>
      </c>
      <c r="F86" s="20" t="inlineStr">
        <is>
          <t>Website</t>
        </is>
      </c>
      <c r="G86" s="27" t="inlineStr">
        <is>
          <t>Open</t>
        </is>
      </c>
      <c r="H86" s="20" t="inlineStr">
        <is>
          <t>27-Apr-2026</t>
        </is>
      </c>
      <c r="I86" s="20" t="inlineStr">
        <is>
          <t>1. Add tickets to cart
2. Clear all browser cookies
3. Revisit site</t>
        </is>
      </c>
      <c r="J86" s="20" t="inlineStr">
        <is>
          <t>Cart cleared when cookies are cleared</t>
        </is>
      </c>
      <c r="K86" s="20" t="inlineStr">
        <is>
          <t>Cart still shows previous tickets</t>
        </is>
      </c>
      <c r="L86" s="20" t="inlineStr">
        <is>
          <t>Session handling flaw</t>
        </is>
      </c>
    </row>
    <row r="87" ht="55" customHeight="1">
      <c r="A87" s="23" t="inlineStr">
        <is>
          <t>BUG-086</t>
        </is>
      </c>
      <c r="B87" s="23" t="inlineStr">
        <is>
          <t>Cart</t>
        </is>
      </c>
      <c r="C87" s="23" t="inlineStr">
        <is>
          <t>Cart emptied after login during checkout</t>
        </is>
      </c>
      <c r="D87" s="23" t="inlineStr">
        <is>
          <t>UI</t>
        </is>
      </c>
      <c r="E87" s="21" t="inlineStr">
        <is>
          <t>HIGH</t>
        </is>
      </c>
      <c r="F87" s="23" t="inlineStr">
        <is>
          <t>Website</t>
        </is>
      </c>
      <c r="G87" s="27" t="inlineStr">
        <is>
          <t>Open</t>
        </is>
      </c>
      <c r="H87" s="23" t="inlineStr">
        <is>
          <t>27-Apr-2026</t>
        </is>
      </c>
      <c r="I87" s="23" t="inlineStr">
        <is>
          <t>1. Logout
2. Add tickets to cart
3. Proceed — prompted to login
4. Login</t>
        </is>
      </c>
      <c r="J87" s="23" t="inlineStr">
        <is>
          <t>Cart preserved after login redirect</t>
        </is>
      </c>
      <c r="K87" s="23" t="inlineStr">
        <is>
          <t>Cart emptied. User redirected to home page</t>
        </is>
      </c>
      <c r="L87" s="23" t="inlineStr"/>
    </row>
    <row r="88" ht="55" customHeight="1">
      <c r="A88" s="20" t="inlineStr">
        <is>
          <t>BUG-087</t>
        </is>
      </c>
      <c r="B88" s="20" t="inlineStr">
        <is>
          <t>Security</t>
        </is>
      </c>
      <c r="C88" s="20" t="inlineStr">
        <is>
          <t>Checkout redirects to home page after login</t>
        </is>
      </c>
      <c r="D88" s="20" t="inlineStr">
        <is>
          <t>SECURITY</t>
        </is>
      </c>
      <c r="E88" s="21" t="inlineStr">
        <is>
          <t>HIGH</t>
        </is>
      </c>
      <c r="F88" s="20" t="inlineStr">
        <is>
          <t>Website</t>
        </is>
      </c>
      <c r="G88" s="27" t="inlineStr">
        <is>
          <t>Open</t>
        </is>
      </c>
      <c r="H88" s="20" t="inlineStr">
        <is>
          <t>27-Apr-2026</t>
        </is>
      </c>
      <c r="I88" s="20" t="inlineStr">
        <is>
          <t>1. Logout
2. Try to order tickets
3. Login when prompted</t>
        </is>
      </c>
      <c r="J88" s="20" t="inlineStr">
        <is>
          <t>User returned to checkout with cart intact</t>
        </is>
      </c>
      <c r="K88" s="20" t="inlineStr">
        <is>
          <t>User sent to homepage. Cart empty</t>
        </is>
      </c>
      <c r="L88" s="20" t="inlineStr"/>
    </row>
    <row r="89" ht="55" customHeight="1">
      <c r="A89" s="23" t="inlineStr">
        <is>
          <t>BUG-088</t>
        </is>
      </c>
      <c r="B89" s="23" t="inlineStr">
        <is>
          <t>Cart</t>
        </is>
      </c>
      <c r="C89" s="23" t="inlineStr">
        <is>
          <t>Cart deletes previous tickets when adding new destination</t>
        </is>
      </c>
      <c r="D89" s="23" t="inlineStr">
        <is>
          <t>FUNCTIONAL</t>
        </is>
      </c>
      <c r="E89" s="21" t="inlineStr">
        <is>
          <t>HIGH</t>
        </is>
      </c>
      <c r="F89" s="23" t="inlineStr">
        <is>
          <t>Website</t>
        </is>
      </c>
      <c r="G89" s="27" t="inlineStr">
        <is>
          <t>Open</t>
        </is>
      </c>
      <c r="H89" s="23" t="inlineStr">
        <is>
          <t>27-Apr-2026</t>
        </is>
      </c>
      <c r="I89" s="23" t="inlineStr">
        <is>
          <t>1. Add ticket for destination A
2. Add ticket for destination B</t>
        </is>
      </c>
      <c r="J89" s="23" t="inlineStr">
        <is>
          <t>Both tickets remain in cart</t>
        </is>
      </c>
      <c r="K89" s="23" t="inlineStr">
        <is>
          <t>Destination A tickets deleted when B is added</t>
        </is>
      </c>
      <c r="L89" s="23" t="inlineStr">
        <is>
          <t>Prevents multi-destination booking</t>
        </is>
      </c>
    </row>
    <row r="90" ht="55" customHeight="1">
      <c r="A90" s="20" t="inlineStr">
        <is>
          <t>BUG-089</t>
        </is>
      </c>
      <c r="B90" s="20" t="inlineStr">
        <is>
          <t>Booking</t>
        </is>
      </c>
      <c r="C90" s="20" t="inlineStr">
        <is>
          <t>Checkout flow resets to ticket selection page on back</t>
        </is>
      </c>
      <c r="D90" s="20" t="inlineStr">
        <is>
          <t>FUNCTIONAL</t>
        </is>
      </c>
      <c r="E90" s="21" t="inlineStr">
        <is>
          <t>HIGH</t>
        </is>
      </c>
      <c r="F90" s="20" t="inlineStr">
        <is>
          <t>Website</t>
        </is>
      </c>
      <c r="G90" s="27" t="inlineStr">
        <is>
          <t>Open</t>
        </is>
      </c>
      <c r="H90" s="20" t="inlineStr">
        <is>
          <t>27-Apr-2026</t>
        </is>
      </c>
      <c r="I90" s="20" t="inlineStr">
        <is>
          <t>1. Select tickets and proceed with checkout
2. Navigate back</t>
        </is>
      </c>
      <c r="J90" s="20" t="inlineStr">
        <is>
          <t>Previous checkout step shown</t>
        </is>
      </c>
      <c r="K90" s="20" t="inlineStr">
        <is>
          <t>Reset to initial ticket time selection page</t>
        </is>
      </c>
      <c r="L90" s="20" t="inlineStr">
        <is>
          <t>Loses all progress</t>
        </is>
      </c>
    </row>
    <row r="91" ht="55" customHeight="1">
      <c r="A91" s="23" t="inlineStr">
        <is>
          <t>BUG-090</t>
        </is>
      </c>
      <c r="B91" s="23" t="inlineStr">
        <is>
          <t>UI</t>
        </is>
      </c>
      <c r="C91" s="23" t="inlineStr">
        <is>
          <t>Duplicate calendar widgets displayed on page</t>
        </is>
      </c>
      <c r="D91" s="23" t="inlineStr">
        <is>
          <t>UI</t>
        </is>
      </c>
      <c r="E91" s="24" t="inlineStr">
        <is>
          <t>MEDIUM</t>
        </is>
      </c>
      <c r="F91" s="23" t="inlineStr">
        <is>
          <t>Website</t>
        </is>
      </c>
      <c r="G91" s="27" t="inlineStr">
        <is>
          <t>Open</t>
        </is>
      </c>
      <c r="H91" s="23" t="inlineStr">
        <is>
          <t>27-Apr-2026</t>
        </is>
      </c>
      <c r="I91" s="23" t="inlineStr">
        <is>
          <t>1. Navigate to search/booking page
2. Observe calendar widgets</t>
        </is>
      </c>
      <c r="J91" s="23" t="inlineStr">
        <is>
          <t>Single calendar widget displayed</t>
        </is>
      </c>
      <c r="K91" s="23" t="inlineStr">
        <is>
          <t>Two calendar widgets shown simultaneously</t>
        </is>
      </c>
      <c r="L91" s="23" t="inlineStr">
        <is>
          <t>User confused about which to use</t>
        </is>
      </c>
    </row>
    <row r="92" ht="55" customHeight="1">
      <c r="A92" s="20" t="inlineStr">
        <is>
          <t>BUG-091</t>
        </is>
      </c>
      <c r="B92" s="20" t="inlineStr">
        <is>
          <t>Wishlist</t>
        </is>
      </c>
      <c r="C92" s="20" t="inlineStr">
        <is>
          <t>Wishlist displays same image for all tickets</t>
        </is>
      </c>
      <c r="D92" s="20" t="inlineStr">
        <is>
          <t>UI</t>
        </is>
      </c>
      <c r="E92" s="21" t="inlineStr">
        <is>
          <t>HIGH</t>
        </is>
      </c>
      <c r="F92" s="20" t="inlineStr">
        <is>
          <t>Website</t>
        </is>
      </c>
      <c r="G92" s="27" t="inlineStr">
        <is>
          <t>Open</t>
        </is>
      </c>
      <c r="H92" s="20" t="inlineStr">
        <is>
          <t>27-Apr-2026</t>
        </is>
      </c>
      <c r="I92" s="20" t="inlineStr">
        <is>
          <t>1. Add multiple tickets from different destinations to wishlist
2. View wishlist</t>
        </is>
      </c>
      <c r="J92" s="20" t="inlineStr">
        <is>
          <t>Each ticket shows its own relevant image</t>
        </is>
      </c>
      <c r="K92" s="20" t="inlineStr">
        <is>
          <t>Same single photo used for all tickets</t>
        </is>
      </c>
      <c r="L92" s="20" t="inlineStr">
        <is>
          <t>Misleading visuals</t>
        </is>
      </c>
    </row>
    <row r="93" ht="55" customHeight="1">
      <c r="A93" s="23" t="inlineStr">
        <is>
          <t>BUG-092</t>
        </is>
      </c>
      <c r="B93" s="23" t="inlineStr">
        <is>
          <t>Cart</t>
        </is>
      </c>
      <c r="C93" s="23" t="inlineStr">
        <is>
          <t>Cart not updated after checkout completion</t>
        </is>
      </c>
      <c r="D93" s="23" t="inlineStr">
        <is>
          <t>FUNCTIONAL</t>
        </is>
      </c>
      <c r="E93" s="21" t="inlineStr">
        <is>
          <t>HIGH</t>
        </is>
      </c>
      <c r="F93" s="23" t="inlineStr">
        <is>
          <t>Website</t>
        </is>
      </c>
      <c r="G93" s="27" t="inlineStr">
        <is>
          <t>Open</t>
        </is>
      </c>
      <c r="H93" s="23" t="inlineStr">
        <is>
          <t>27-Apr-2026</t>
        </is>
      </c>
      <c r="I93" s="23" t="inlineStr">
        <is>
          <t>1. Add tickets to cart
2. Complete checkout successfully</t>
        </is>
      </c>
      <c r="J93" s="23" t="inlineStr">
        <is>
          <t>Cart cleared after successful order</t>
        </is>
      </c>
      <c r="K93" s="23" t="inlineStr">
        <is>
          <t>Same items remain in cart post-checkout</t>
        </is>
      </c>
      <c r="L93" s="23" t="inlineStr">
        <is>
          <t>Creates user confusion about order status</t>
        </is>
      </c>
    </row>
    <row r="94" ht="55" customHeight="1">
      <c r="A94" s="20" t="inlineStr">
        <is>
          <t>BUG-093</t>
        </is>
      </c>
      <c r="B94" s="20" t="inlineStr">
        <is>
          <t>Checkout</t>
        </is>
      </c>
      <c r="C94" s="20" t="inlineStr">
        <is>
          <t>Card expiry date field accepts invalid input</t>
        </is>
      </c>
      <c r="D94" s="20" t="inlineStr">
        <is>
          <t>FUNCTIONAL</t>
        </is>
      </c>
      <c r="E94" s="21" t="inlineStr">
        <is>
          <t>HIGH</t>
        </is>
      </c>
      <c r="F94" s="20" t="inlineStr">
        <is>
          <t>Website</t>
        </is>
      </c>
      <c r="G94" s="27" t="inlineStr">
        <is>
          <t>Open</t>
        </is>
      </c>
      <c r="H94" s="20" t="inlineStr">
        <is>
          <t>27-Apr-2026</t>
        </is>
      </c>
      <c r="I94" s="20" t="inlineStr">
        <is>
          <t>1. Go to checkout payment step
2. Enter '12' in expiry date field</t>
        </is>
      </c>
      <c r="J94" s="20" t="inlineStr">
        <is>
          <t>Validation requires full MM/YY format</t>
        </is>
      </c>
      <c r="K94" s="20" t="inlineStr">
        <is>
          <t>Only 2 digits accepted — incomplete format allowed</t>
        </is>
      </c>
      <c r="L94" s="20" t="inlineStr">
        <is>
          <t>Payment security issue</t>
        </is>
      </c>
    </row>
    <row r="95" ht="55" customHeight="1">
      <c r="A95" s="23" t="inlineStr">
        <is>
          <t>BUG-094</t>
        </is>
      </c>
      <c r="B95" s="23" t="inlineStr">
        <is>
          <t>Checkout</t>
        </is>
      </c>
      <c r="C95" s="23" t="inlineStr">
        <is>
          <t>Checkout form validation issues — Name and Phone fields</t>
        </is>
      </c>
      <c r="D95" s="23" t="inlineStr">
        <is>
          <t>FUNCTIONAL</t>
        </is>
      </c>
      <c r="E95" s="21" t="inlineStr">
        <is>
          <t>HIGH</t>
        </is>
      </c>
      <c r="F95" s="23" t="inlineStr">
        <is>
          <t>Website</t>
        </is>
      </c>
      <c r="G95" s="27" t="inlineStr">
        <is>
          <t>Open</t>
        </is>
      </c>
      <c r="H95" s="23" t="inlineStr">
        <is>
          <t>27-Apr-2026</t>
        </is>
      </c>
      <c r="I95" s="23" t="inlineStr">
        <is>
          <t>1. Go to checkout contact info
2. Enter 100+ character name
3. Enter 10-digit phone</t>
        </is>
      </c>
      <c r="J95" s="23" t="inlineStr">
        <is>
          <t>Name field has character limit; phone validates format properly</t>
        </is>
      </c>
      <c r="K95" s="23" t="inlineStr">
        <is>
          <t>Unlimited name characters accepted; 10-digit phone accepted</t>
        </is>
      </c>
      <c r="L95" s="23" t="inlineStr"/>
    </row>
    <row r="96" ht="55" customHeight="1">
      <c r="A96" s="20" t="inlineStr">
        <is>
          <t>BUG-095</t>
        </is>
      </c>
      <c r="B96" s="20" t="inlineStr">
        <is>
          <t>User Profile</t>
        </is>
      </c>
      <c r="C96" s="20" t="inlineStr">
        <is>
          <t>Name change feature not working and no input validation</t>
        </is>
      </c>
      <c r="D96" s="20" t="inlineStr">
        <is>
          <t>FUNCTIONAL</t>
        </is>
      </c>
      <c r="E96" s="21" t="inlineStr">
        <is>
          <t>HIGH</t>
        </is>
      </c>
      <c r="F96" s="20" t="inlineStr">
        <is>
          <t>Website</t>
        </is>
      </c>
      <c r="G96" s="27" t="inlineStr">
        <is>
          <t>Open</t>
        </is>
      </c>
      <c r="H96" s="20" t="inlineStr">
        <is>
          <t>27-Apr-2026</t>
        </is>
      </c>
      <c r="I96" s="20" t="inlineStr">
        <is>
          <t>1. Go to settings
2. Change account name
3. Save</t>
        </is>
      </c>
      <c r="J96" s="20" t="inlineStr">
        <is>
          <t>Name updated and displayed correctly with character limit</t>
        </is>
      </c>
      <c r="K96" s="20" t="inlineStr">
        <is>
          <t>Name not updated. Old name persists. Unlimited text accepted in field</t>
        </is>
      </c>
      <c r="L96" s="20" t="inlineStr"/>
    </row>
    <row r="97" ht="55" customHeight="1">
      <c r="A97" s="23" t="inlineStr">
        <is>
          <t>BUG-096</t>
        </is>
      </c>
      <c r="B97" s="23" t="inlineStr">
        <is>
          <t>Auth</t>
        </is>
      </c>
      <c r="C97" s="23" t="inlineStr">
        <is>
          <t>Date of birth field allows invalid future dates</t>
        </is>
      </c>
      <c r="D97" s="23" t="inlineStr">
        <is>
          <t>FUNCTIONAL</t>
        </is>
      </c>
      <c r="E97" s="24" t="inlineStr">
        <is>
          <t>MEDIUM</t>
        </is>
      </c>
      <c r="F97" s="23" t="inlineStr">
        <is>
          <t>Website</t>
        </is>
      </c>
      <c r="G97" s="27" t="inlineStr">
        <is>
          <t>Open</t>
        </is>
      </c>
      <c r="H97" s="23" t="inlineStr">
        <is>
          <t>27-Apr-2026</t>
        </is>
      </c>
      <c r="I97" s="23" t="inlineStr">
        <is>
          <t>1. Go to registration
2. Select a future date in Date of Birth field</t>
        </is>
      </c>
      <c r="J97" s="23" t="inlineStr">
        <is>
          <t>Future dates rejected in Date of Birth</t>
        </is>
      </c>
      <c r="K97" s="23" t="inlineStr">
        <is>
          <t>Future dates accepted without error</t>
        </is>
      </c>
      <c r="L97" s="23" t="inlineStr">
        <is>
          <t>Invalid data stored</t>
        </is>
      </c>
    </row>
    <row r="98" ht="55" customHeight="1">
      <c r="A98" s="20" t="inlineStr">
        <is>
          <t>BUG-097</t>
        </is>
      </c>
      <c r="B98" s="20" t="inlineStr">
        <is>
          <t>User Profile</t>
        </is>
      </c>
      <c r="C98" s="20" t="inlineStr">
        <is>
          <t>Delete account feature not working</t>
        </is>
      </c>
      <c r="D98" s="20" t="inlineStr">
        <is>
          <t>FUNCTIONAL</t>
        </is>
      </c>
      <c r="E98" s="21" t="inlineStr">
        <is>
          <t>HIGH</t>
        </is>
      </c>
      <c r="F98" s="20" t="inlineStr">
        <is>
          <t>Website</t>
        </is>
      </c>
      <c r="G98" s="27" t="inlineStr">
        <is>
          <t>Open</t>
        </is>
      </c>
      <c r="H98" s="20" t="inlineStr">
        <is>
          <t>27-Apr-2026</t>
        </is>
      </c>
      <c r="I98" s="20" t="inlineStr">
        <is>
          <t>1. Login
2. Go to settings
3. Click Delete Account</t>
        </is>
      </c>
      <c r="J98" s="20" t="inlineStr">
        <is>
          <t>Account deleted with confirmation message</t>
        </is>
      </c>
      <c r="K98" s="20" t="inlineStr">
        <is>
          <t>Feature does not function — account remains active</t>
        </is>
      </c>
      <c r="L98" s="20" t="inlineStr"/>
    </row>
    <row r="99" ht="55" customHeight="1">
      <c r="A99" s="23" t="inlineStr">
        <is>
          <t>BUG-098</t>
        </is>
      </c>
      <c r="B99" s="23" t="inlineStr">
        <is>
          <t>User Profile</t>
        </is>
      </c>
      <c r="C99" s="23" t="inlineStr">
        <is>
          <t>Change password feature not working</t>
        </is>
      </c>
      <c r="D99" s="23" t="inlineStr">
        <is>
          <t>FUNCTIONAL</t>
        </is>
      </c>
      <c r="E99" s="21" t="inlineStr">
        <is>
          <t>HIGH</t>
        </is>
      </c>
      <c r="F99" s="23" t="inlineStr">
        <is>
          <t>Website</t>
        </is>
      </c>
      <c r="G99" s="27" t="inlineStr">
        <is>
          <t>Open</t>
        </is>
      </c>
      <c r="H99" s="23" t="inlineStr">
        <is>
          <t>27-Apr-2026</t>
        </is>
      </c>
      <c r="I99" s="23" t="inlineStr">
        <is>
          <t>1. Login
2. Go to settings
3. Attempt to change password</t>
        </is>
      </c>
      <c r="J99" s="23" t="inlineStr">
        <is>
          <t>Password updated successfully</t>
        </is>
      </c>
      <c r="K99" s="23" t="inlineStr">
        <is>
          <t>Feature fails to function</t>
        </is>
      </c>
      <c r="L99" s="23" t="inlineStr"/>
    </row>
    <row r="100" ht="55" customHeight="1">
      <c r="A100" s="20" t="inlineStr">
        <is>
          <t>BUG-099</t>
        </is>
      </c>
      <c r="B100" s="20" t="inlineStr">
        <is>
          <t>Notifications</t>
        </is>
      </c>
      <c r="C100" s="20" t="inlineStr">
        <is>
          <t>Review Reminders notification not working</t>
        </is>
      </c>
      <c r="D100" s="20" t="inlineStr">
        <is>
          <t>UI</t>
        </is>
      </c>
      <c r="E100" s="24" t="inlineStr">
        <is>
          <t>MEDIUM</t>
        </is>
      </c>
      <c r="F100" s="20" t="inlineStr">
        <is>
          <t>Website</t>
        </is>
      </c>
      <c r="G100" s="27" t="inlineStr">
        <is>
          <t>Open</t>
        </is>
      </c>
      <c r="H100" s="20" t="inlineStr">
        <is>
          <t>27-Apr-2026</t>
        </is>
      </c>
      <c r="I100" s="20" t="inlineStr">
        <is>
          <t>1. Go to Notification Preferences
2. Activate Review Reminders</t>
        </is>
      </c>
      <c r="J100" s="20" t="inlineStr">
        <is>
          <t>Review reminders triggered and delivered</t>
        </is>
      </c>
      <c r="K100" s="20" t="inlineStr">
        <is>
          <t>Feature does not work — no reminders sent</t>
        </is>
      </c>
      <c r="L100" s="20" t="inlineStr"/>
    </row>
    <row r="101" ht="55" customHeight="1">
      <c r="A101" s="23" t="inlineStr">
        <is>
          <t>BUG-100</t>
        </is>
      </c>
      <c r="B101" s="23" t="inlineStr">
        <is>
          <t>UI</t>
        </is>
      </c>
      <c r="C101" s="23" t="inlineStr">
        <is>
          <t>No feedback after changing currency or language in settings</t>
        </is>
      </c>
      <c r="D101" s="23" t="inlineStr">
        <is>
          <t>UI</t>
        </is>
      </c>
      <c r="E101" s="21" t="inlineStr">
        <is>
          <t>HIGH</t>
        </is>
      </c>
      <c r="F101" s="23" t="inlineStr">
        <is>
          <t>Website</t>
        </is>
      </c>
      <c r="G101" s="27" t="inlineStr">
        <is>
          <t>Open</t>
        </is>
      </c>
      <c r="H101" s="23" t="inlineStr">
        <is>
          <t>27-Apr-2026</t>
        </is>
      </c>
      <c r="I101" s="23" t="inlineStr">
        <is>
          <t>1. Go to settings
2. Change currency or language
3. Observe response</t>
        </is>
      </c>
      <c r="J101" s="23" t="inlineStr">
        <is>
          <t>Confirmation message shown after saving preferences</t>
        </is>
      </c>
      <c r="K101" s="23" t="inlineStr">
        <is>
          <t>No response or confirmation — unclear if changes applied</t>
        </is>
      </c>
      <c r="L101" s="23" t="inlineStr"/>
    </row>
    <row r="102" ht="55" customHeight="1">
      <c r="A102" s="20" t="inlineStr">
        <is>
          <t>BUG-101</t>
        </is>
      </c>
      <c r="B102" s="20" t="inlineStr">
        <is>
          <t>Auth</t>
        </is>
      </c>
      <c r="C102" s="20" t="inlineStr">
        <is>
          <t>Password reset link leads to error page</t>
        </is>
      </c>
      <c r="D102" s="20" t="inlineStr">
        <is>
          <t>FUNCTIONAL</t>
        </is>
      </c>
      <c r="E102" s="21" t="inlineStr">
        <is>
          <t>HIGH</t>
        </is>
      </c>
      <c r="F102" s="20" t="inlineStr">
        <is>
          <t>Website</t>
        </is>
      </c>
      <c r="G102" s="27" t="inlineStr">
        <is>
          <t>Open</t>
        </is>
      </c>
      <c r="H102" s="20" t="inlineStr">
        <is>
          <t>27-Apr-2026</t>
        </is>
      </c>
      <c r="I102" s="20" t="inlineStr">
        <is>
          <t>1. Click 'Forgot Password'
2. Enter email
3. Open reset link from email</t>
        </is>
      </c>
      <c r="J102" s="20" t="inlineStr">
        <is>
          <t>Password reset page loads correctly</t>
        </is>
      </c>
      <c r="K102" s="20" t="inlineStr">
        <is>
          <t>Reset page fails to load — error displayed</t>
        </is>
      </c>
      <c r="L102" s="20" t="inlineStr">
        <is>
          <t>User completely locked out</t>
        </is>
      </c>
    </row>
    <row r="103" ht="55" customHeight="1">
      <c r="A103" s="23" t="inlineStr">
        <is>
          <t>BUG-102</t>
        </is>
      </c>
      <c r="B103" s="23" t="inlineStr">
        <is>
          <t>Auth</t>
        </is>
      </c>
      <c r="C103" s="23" t="inlineStr">
        <is>
          <t>Logout does not redirect to original page</t>
        </is>
      </c>
      <c r="D103" s="23" t="inlineStr">
        <is>
          <t>FUNCTIONAL</t>
        </is>
      </c>
      <c r="E103" s="24" t="inlineStr">
        <is>
          <t>MEDIUM</t>
        </is>
      </c>
      <c r="F103" s="23" t="inlineStr">
        <is>
          <t>Website</t>
        </is>
      </c>
      <c r="G103" s="27" t="inlineStr">
        <is>
          <t>Open</t>
        </is>
      </c>
      <c r="H103" s="23" t="inlineStr">
        <is>
          <t>27-Apr-2026</t>
        </is>
      </c>
      <c r="I103" s="23" t="inlineStr">
        <is>
          <t>1. Navigate to any page
2. Logout</t>
        </is>
      </c>
      <c r="J103" s="23" t="inlineStr">
        <is>
          <t>User returned to page they were on before login</t>
        </is>
      </c>
      <c r="K103" s="23" t="inlineStr">
        <is>
          <t>No proper redirection after logout</t>
        </is>
      </c>
      <c r="L103" s="23" t="inlineStr"/>
    </row>
    <row r="104" ht="55" customHeight="1">
      <c r="A104" s="20" t="inlineStr">
        <is>
          <t>BUG-103</t>
        </is>
      </c>
      <c r="B104" s="20" t="inlineStr">
        <is>
          <t>Auth</t>
        </is>
      </c>
      <c r="C104" s="20" t="inlineStr">
        <is>
          <t>Session active but login prompt shown simultaneously</t>
        </is>
      </c>
      <c r="D104" s="20" t="inlineStr">
        <is>
          <t>FUNCTIONAL</t>
        </is>
      </c>
      <c r="E104" s="21" t="inlineStr">
        <is>
          <t>HIGH</t>
        </is>
      </c>
      <c r="F104" s="20" t="inlineStr">
        <is>
          <t>Website</t>
        </is>
      </c>
      <c r="G104" s="27" t="inlineStr">
        <is>
          <t>Open</t>
        </is>
      </c>
      <c r="H104" s="20" t="inlineStr">
        <is>
          <t>27-Apr-2026</t>
        </is>
      </c>
      <c r="I104" s="20" t="inlineStr">
        <is>
          <t>1. Login
2. Navigate back to previous page</t>
        </is>
      </c>
      <c r="J104" s="20" t="inlineStr">
        <is>
          <t>Consistent session state — no re-login prompt if already logged in</t>
        </is>
      </c>
      <c r="K104" s="20" t="inlineStr">
        <is>
          <t>Session active but email/password fields prompt re-entry</t>
        </is>
      </c>
      <c r="L104" s="20" t="inlineStr">
        <is>
          <t>Confusing inconsistent behavior</t>
        </is>
      </c>
    </row>
    <row r="105" ht="55" customHeight="1">
      <c r="A105" s="23" t="inlineStr">
        <is>
          <t>BUG-104</t>
        </is>
      </c>
      <c r="B105" s="23" t="inlineStr">
        <is>
          <t>Security</t>
        </is>
      </c>
      <c r="C105" s="23" t="inlineStr">
        <is>
          <t>Missing email ownership verification during sign-up</t>
        </is>
      </c>
      <c r="D105" s="23" t="inlineStr">
        <is>
          <t>SECURITY</t>
        </is>
      </c>
      <c r="E105" s="21" t="inlineStr">
        <is>
          <t>HIGH</t>
        </is>
      </c>
      <c r="F105" s="23" t="inlineStr">
        <is>
          <t>Website</t>
        </is>
      </c>
      <c r="G105" s="27" t="inlineStr">
        <is>
          <t>Open</t>
        </is>
      </c>
      <c r="H105" s="23" t="inlineStr">
        <is>
          <t>27-Apr-2026</t>
        </is>
      </c>
      <c r="I105" s="23" t="inlineStr">
        <is>
          <t>1. Signup with any email address
2. Check if verification email sent</t>
        </is>
      </c>
      <c r="J105" s="23" t="inlineStr">
        <is>
          <t>Verification email sent to confirm ownership</t>
        </is>
      </c>
      <c r="K105" s="23" t="inlineStr">
        <is>
          <t>No verification email sent — any email accepted</t>
        </is>
      </c>
      <c r="L105" s="23" t="inlineStr">
        <is>
          <t>Enables registration with others' emails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26" customHeight="1">
      <c r="B2" s="30" t="inlineStr">
        <is>
          <t>BUGS BY MODULE &amp; SEVERITY</t>
        </is>
      </c>
    </row>
    <row r="3" ht="26" customHeight="1"/>
    <row r="5" ht="24" customHeight="1">
      <c r="B5" s="31" t="inlineStr">
        <is>
          <t>Module</t>
        </is>
      </c>
      <c r="C5" s="32" t="inlineStr">
        <is>
          <t>Critical</t>
        </is>
      </c>
      <c r="D5" s="33" t="inlineStr">
        <is>
          <t>High</t>
        </is>
      </c>
      <c r="E5" s="34" t="inlineStr">
        <is>
          <t>Medium</t>
        </is>
      </c>
      <c r="F5" s="35" t="inlineStr">
        <is>
          <t>Low</t>
        </is>
      </c>
    </row>
    <row r="6" ht="20" customHeight="1">
      <c r="B6" s="36" t="n">
        <v>1</v>
      </c>
      <c r="C6" s="36" t="n">
        <v>7</v>
      </c>
      <c r="D6" s="36" t="inlineStr"/>
      <c r="E6" s="36" t="n">
        <v>1</v>
      </c>
    </row>
    <row r="7" ht="20" customHeight="1">
      <c r="B7" s="37" t="n">
        <v>3</v>
      </c>
      <c r="C7" s="37" t="n">
        <v>11</v>
      </c>
      <c r="D7" s="37" t="n">
        <v>3</v>
      </c>
      <c r="E7" s="37" t="inlineStr"/>
    </row>
    <row r="8" ht="20" customHeight="1">
      <c r="B8" s="36" t="n">
        <v>2</v>
      </c>
      <c r="C8" s="36" t="n">
        <v>2</v>
      </c>
      <c r="D8" s="36" t="inlineStr"/>
      <c r="E8" s="36" t="inlineStr"/>
    </row>
    <row r="9" ht="20" customHeight="1">
      <c r="B9" s="37" t="inlineStr"/>
      <c r="C9" s="37" t="n">
        <v>9</v>
      </c>
      <c r="D9" s="37" t="n">
        <v>2</v>
      </c>
      <c r="E9" s="37" t="inlineStr"/>
    </row>
    <row r="10" ht="20" customHeight="1">
      <c r="B10" s="36" t="inlineStr"/>
      <c r="C10" s="36" t="n">
        <v>2</v>
      </c>
      <c r="D10" s="36" t="inlineStr"/>
      <c r="E10" s="36" t="inlineStr"/>
    </row>
    <row r="11" ht="20" customHeight="1">
      <c r="B11" s="37" t="inlineStr"/>
      <c r="C11" s="37" t="n">
        <v>1</v>
      </c>
      <c r="D11" s="37" t="inlineStr"/>
      <c r="E11" s="37" t="inlineStr"/>
    </row>
    <row r="12" ht="20" customHeight="1">
      <c r="B12" s="36" t="inlineStr"/>
      <c r="C12" s="36" t="inlineStr"/>
      <c r="D12" s="36" t="n">
        <v>1</v>
      </c>
      <c r="E12" s="36" t="inlineStr"/>
    </row>
    <row r="13" ht="20" customHeight="1">
      <c r="B13" s="37" t="n">
        <v>2</v>
      </c>
      <c r="C13" s="37" t="n">
        <v>4</v>
      </c>
      <c r="D13" s="37" t="n">
        <v>1</v>
      </c>
      <c r="E13" s="37" t="inlineStr"/>
    </row>
    <row r="14" ht="20" customHeight="1">
      <c r="B14" s="36" t="n">
        <v>1</v>
      </c>
      <c r="C14" s="36" t="inlineStr"/>
      <c r="D14" s="36" t="inlineStr"/>
      <c r="E14" s="36" t="inlineStr"/>
    </row>
    <row r="15" ht="20" customHeight="1">
      <c r="B15" s="37" t="inlineStr"/>
      <c r="C15" s="37" t="inlineStr"/>
      <c r="D15" s="37" t="n">
        <v>1</v>
      </c>
      <c r="E15" s="37" t="inlineStr"/>
    </row>
    <row r="16" ht="20" customHeight="1">
      <c r="B16" s="36" t="inlineStr"/>
      <c r="C16" s="36" t="inlineStr"/>
      <c r="D16" s="36" t="n">
        <v>2</v>
      </c>
      <c r="E16" s="36" t="inlineStr"/>
    </row>
    <row r="17" ht="20" customHeight="1">
      <c r="B17" s="37" t="inlineStr"/>
      <c r="C17" s="37" t="n">
        <v>2</v>
      </c>
      <c r="D17" s="37" t="inlineStr"/>
      <c r="E17" s="37" t="inlineStr"/>
    </row>
    <row r="18" ht="20" customHeight="1">
      <c r="B18" s="36" t="n">
        <v>7</v>
      </c>
      <c r="C18" s="36" t="n">
        <v>10</v>
      </c>
      <c r="D18" s="36" t="inlineStr"/>
      <c r="E18" s="36" t="inlineStr"/>
    </row>
    <row r="19" ht="20" customHeight="1">
      <c r="B19" s="37" t="inlineStr"/>
      <c r="C19" s="37" t="n">
        <v>5</v>
      </c>
      <c r="D19" s="37" t="inlineStr"/>
      <c r="E19" s="37" t="inlineStr"/>
    </row>
    <row r="20" ht="20" customHeight="1">
      <c r="B20" s="36" t="inlineStr"/>
      <c r="C20" s="36" t="n">
        <v>7</v>
      </c>
      <c r="D20" s="36" t="inlineStr"/>
      <c r="E20" s="36" t="inlineStr"/>
    </row>
    <row r="21" ht="20" customHeight="1">
      <c r="B21" s="37" t="inlineStr"/>
      <c r="C21" s="37" t="n">
        <v>2</v>
      </c>
      <c r="D21" s="37" t="n">
        <v>1</v>
      </c>
      <c r="E21" s="37" t="n">
        <v>1</v>
      </c>
    </row>
    <row r="22" ht="20" customHeight="1">
      <c r="B22" s="36" t="inlineStr"/>
      <c r="C22" s="36" t="n">
        <v>3</v>
      </c>
      <c r="D22" s="36" t="n">
        <v>1</v>
      </c>
      <c r="E22" s="36" t="inlineStr"/>
    </row>
    <row r="23" ht="20" customHeight="1">
      <c r="B23" s="37" t="n">
        <v>2</v>
      </c>
      <c r="C23" s="37" t="n">
        <v>2</v>
      </c>
      <c r="D23" s="37" t="inlineStr"/>
      <c r="E23" s="37" t="inlineStr"/>
    </row>
    <row r="24" ht="20" customHeight="1">
      <c r="B24" s="36" t="inlineStr"/>
      <c r="C24" s="36" t="n">
        <v>1</v>
      </c>
      <c r="D24" s="36" t="n">
        <v>3</v>
      </c>
      <c r="E24" s="36" t="inlineStr"/>
    </row>
    <row r="25" ht="20" customHeight="1">
      <c r="B25" s="37" t="inlineStr"/>
      <c r="C25" s="37" t="n">
        <v>1</v>
      </c>
      <c r="D25" s="37" t="inlineStr"/>
      <c r="E25" s="37" t="inlineStr"/>
    </row>
  </sheetData>
  <mergeCells count="1">
    <mergeCell ref="B2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6" customHeight="1">
      <c r="B2" s="30" t="inlineStr">
        <is>
          <t>BUGS BY PLATFORM &amp; STATUS</t>
        </is>
      </c>
    </row>
    <row r="3" ht="26" customHeight="1"/>
    <row r="5" ht="24" customHeight="1">
      <c r="B5" s="31" t="inlineStr">
        <is>
          <t>Platform</t>
        </is>
      </c>
      <c r="C5" s="31" t="inlineStr">
        <is>
          <t>Total</t>
        </is>
      </c>
      <c r="D5" s="31" t="inlineStr">
        <is>
          <t>Open</t>
        </is>
      </c>
      <c r="E5" s="31" t="inlineStr">
        <is>
          <t>In Review</t>
        </is>
      </c>
      <c r="F5" s="31" t="inlineStr">
        <is>
          <t>Resolved</t>
        </is>
      </c>
      <c r="G5" s="31" t="inlineStr">
        <is>
          <t>Rejected</t>
        </is>
      </c>
    </row>
    <row r="6" ht="22" customHeight="1">
      <c r="B6" s="38" t="inlineStr">
        <is>
          <t>Admin Dashboard</t>
        </is>
      </c>
      <c r="C6" s="39" t="n">
        <v>12</v>
      </c>
      <c r="D6" s="36" t="n">
        <v>6</v>
      </c>
      <c r="E6" s="36" t="n">
        <v>4</v>
      </c>
      <c r="F6" s="36" t="n">
        <v>1</v>
      </c>
      <c r="G6" s="36" t="n">
        <v>1</v>
      </c>
    </row>
    <row r="7" ht="22" customHeight="1">
      <c r="B7" s="40" t="inlineStr">
        <is>
          <t>Partner Dashboard</t>
        </is>
      </c>
      <c r="C7" s="41" t="n">
        <v>7</v>
      </c>
      <c r="D7" s="37" t="n">
        <v>3</v>
      </c>
      <c r="E7" s="37" t="n">
        <v>1</v>
      </c>
      <c r="F7" s="37" t="n">
        <v>1</v>
      </c>
      <c r="G7" s="37" t="n">
        <v>2</v>
      </c>
    </row>
    <row r="8" ht="22" customHeight="1">
      <c r="B8" s="38" t="inlineStr">
        <is>
          <t>Staff Dashboard</t>
        </is>
      </c>
      <c r="C8" s="39" t="n">
        <v>5</v>
      </c>
      <c r="D8" s="36" t="n">
        <v>0</v>
      </c>
      <c r="E8" s="36" t="n">
        <v>2</v>
      </c>
      <c r="F8" s="36" t="n">
        <v>0</v>
      </c>
      <c r="G8" s="36" t="n">
        <v>3</v>
      </c>
    </row>
    <row r="9" ht="22" customHeight="1">
      <c r="B9" s="40" t="inlineStr">
        <is>
          <t>Supplier Dashboard</t>
        </is>
      </c>
      <c r="C9" s="41" t="n">
        <v>11</v>
      </c>
      <c r="D9" s="37" t="n">
        <v>6</v>
      </c>
      <c r="E9" s="37" t="n">
        <v>4</v>
      </c>
      <c r="F9" s="37" t="n">
        <v>0</v>
      </c>
      <c r="G9" s="37" t="n">
        <v>1</v>
      </c>
    </row>
    <row r="10" ht="22" customHeight="1">
      <c r="B10" s="38" t="inlineStr">
        <is>
          <t>Website</t>
        </is>
      </c>
      <c r="C10" s="39" t="n">
        <v>69</v>
      </c>
      <c r="D10" s="36" t="n">
        <v>34</v>
      </c>
      <c r="E10" s="36" t="n">
        <v>22</v>
      </c>
      <c r="F10" s="36" t="n">
        <v>5</v>
      </c>
      <c r="G10" s="36" t="n">
        <v>8</v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2026-05-23T19:10:27Z</dcterms:created>
  <dcterms:modified xmlns:dcterms="http://purl.org/dc/terms/" xmlns:xsi="http://www.w3.org/2001/XMLSchema-instance" xsi:type="dcterms:W3CDTF">2026-05-23T19:10:27Z</dcterms:modified>
</cp:coreProperties>
</file>